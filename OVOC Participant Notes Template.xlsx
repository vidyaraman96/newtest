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0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h147066\OneDrive - Honeywell\IT HUE Team Share Drive\4 Tools and Templates\Templates 2.0\OVOC\"/>
    </mc:Choice>
  </mc:AlternateContent>
  <xr:revisionPtr revIDLastSave="0" documentId="8_{B055AE16-7DBA-4A8C-97DD-9881E0390ECF}" xr6:coauthVersionLast="35" xr6:coauthVersionMax="35" xr10:uidLastSave="{00000000-0000-0000-0000-000000000000}"/>
  <bookViews>
    <workbookView xWindow="14865" yWindow="-20175" windowWidth="37065" windowHeight="18135" tabRatio="500" xr2:uid="{00000000-000D-0000-FFFF-FFFF00000000}"/>
  </bookViews>
  <sheets>
    <sheet name="Example - OVOC Scheduling" sheetId="1" r:id="rId1"/>
    <sheet name="Persona Summary" sheetId="2" r:id="rId2"/>
    <sheet name="Example - Analysis for Tableau" sheetId="3" r:id="rId3"/>
  </sheets>
  <definedNames>
    <definedName name="_xlnm._FilterDatabase" localSheetId="2" hidden="1">'Example - Analysis for Tableau'!$A$1:$N$47</definedName>
    <definedName name="_xlnm._FilterDatabase" localSheetId="0" hidden="1">'Example - OVOC Scheduling'!$B$2:$J$49</definedName>
  </definedNames>
  <calcPr calcId="17902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49" i="3" l="1"/>
  <c r="B49" i="1"/>
  <c r="E7" i="2"/>
  <c r="E6" i="2"/>
  <c r="E5" i="2"/>
  <c r="E4" i="2"/>
  <c r="E3" i="2"/>
  <c r="E8" i="2"/>
</calcChain>
</file>

<file path=xl/sharedStrings.xml><?xml version="1.0" encoding="utf-8"?>
<sst xmlns="http://schemas.openxmlformats.org/spreadsheetml/2006/main" count="741" uniqueCount="66">
  <si>
    <t>Last Name</t>
  </si>
  <si>
    <t>First Name</t>
  </si>
  <si>
    <t>Persona</t>
  </si>
  <si>
    <t>Office</t>
  </si>
  <si>
    <t>SBG</t>
  </si>
  <si>
    <t>Interviewer</t>
  </si>
  <si>
    <t>Date of OVOC</t>
  </si>
  <si>
    <t>Consent Form?</t>
  </si>
  <si>
    <t>Photos?</t>
  </si>
  <si>
    <t>Doe</t>
  </si>
  <si>
    <t>Joe</t>
  </si>
  <si>
    <t>Li Min (HR)</t>
  </si>
  <si>
    <t>MP</t>
  </si>
  <si>
    <t>Corp</t>
  </si>
  <si>
    <t>Jane Doe</t>
  </si>
  <si>
    <t>No</t>
  </si>
  <si>
    <t>Yes</t>
  </si>
  <si>
    <t>Galo (Call Center Agent)</t>
  </si>
  <si>
    <t>Adela (Front-line worker)</t>
  </si>
  <si>
    <t>Anna (Assistant)</t>
  </si>
  <si>
    <t>Tina (Team Manager)</t>
  </si>
  <si>
    <t>BLR</t>
  </si>
  <si>
    <t>ACS</t>
  </si>
  <si>
    <t>Avi (Engineer)</t>
  </si>
  <si>
    <t>Aero</t>
  </si>
  <si>
    <t>Frank (Finance/Procurement)</t>
  </si>
  <si>
    <t>Glen (Mobile Sales)</t>
  </si>
  <si>
    <t>BRNO</t>
  </si>
  <si>
    <t>Jia - Processor</t>
  </si>
  <si>
    <t>IT</t>
  </si>
  <si>
    <t>Ellen (Executive)</t>
  </si>
  <si>
    <t>HTS</t>
  </si>
  <si>
    <t>PHX</t>
  </si>
  <si>
    <t>GV</t>
  </si>
  <si>
    <t>China</t>
  </si>
  <si>
    <t>Finance</t>
  </si>
  <si>
    <t>HR</t>
  </si>
  <si>
    <t>#</t>
  </si>
  <si>
    <t>Office 365 Persona</t>
  </si>
  <si>
    <t>HON Persona</t>
  </si>
  <si>
    <t># of OVOC's</t>
  </si>
  <si>
    <t>Engineer</t>
  </si>
  <si>
    <t>Avi
Engineer</t>
  </si>
  <si>
    <t>Mid-Level Manager</t>
  </si>
  <si>
    <t>Tina
Team Manager</t>
  </si>
  <si>
    <t>Remote Staff / Sales</t>
  </si>
  <si>
    <t>Glen
Remote Worker</t>
  </si>
  <si>
    <t>Executive</t>
  </si>
  <si>
    <t>Ellen
Executive</t>
  </si>
  <si>
    <t>Admin</t>
  </si>
  <si>
    <t>Anna
Assistant</t>
  </si>
  <si>
    <t>Total</t>
  </si>
  <si>
    <t>Region</t>
  </si>
  <si>
    <t>Walk-in</t>
  </si>
  <si>
    <t>Call</t>
  </si>
  <si>
    <t>Email</t>
  </si>
  <si>
    <t>Remedy - Self Service</t>
  </si>
  <si>
    <t>GetIT</t>
  </si>
  <si>
    <t>Lack of E2E Accountability</t>
  </si>
  <si>
    <t>Desire future self-service</t>
  </si>
  <si>
    <t>Reference to policies/workflows</t>
  </si>
  <si>
    <t>USA</t>
  </si>
  <si>
    <t>Opportunity to expand</t>
  </si>
  <si>
    <t>India</t>
  </si>
  <si>
    <t>EU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</si>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</sst>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1FF05"/>
        <bgColor indexed="64"/>
      </patternFill>
    </fill>
    <fill>
      <patternFill patternType="solid">
        <fgColor rgb="FFFF020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5B9B7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1" fillId="5" borderId="1" xfId="0" applyFont="1" applyFill="1" applyBorder="1" applyAlignment="1">
      <alignment horizontal="right"/>
    </xf>
    <xf numFmtId="0" fontId="1" fillId="5" borderId="1" xfId="0" applyFont="1" applyFill="1" applyBorder="1"/>
    <xf numFmtId="0" fontId="1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5" fillId="0" borderId="1" xfId="0" applyFont="1" applyBorder="1"/>
    <xf numFmtId="0" fontId="0" fillId="0" borderId="11" xfId="0" applyBorder="1"/>
    <xf numFmtId="14" fontId="0" fillId="0" borderId="11" xfId="0" applyNumberForma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13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8" borderId="1" xfId="0" applyFill="1" applyBorder="1"/>
    <xf numFmtId="0" fontId="0" fillId="8" borderId="4" xfId="0" applyFill="1" applyBorder="1"/>
    <xf numFmtId="0" fontId="0" fillId="8" borderId="11" xfId="0" applyFill="1" applyBorder="1"/>
    <xf numFmtId="0" fontId="0" fillId="8" borderId="12" xfId="0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1" fillId="5" borderId="6" xfId="0" applyFont="1" applyFill="1" applyBorder="1" applyAlignment="1">
      <alignment horizontal="right"/>
    </xf>
    <xf numFmtId="0" fontId="1" fillId="5" borderId="7" xfId="0" applyFont="1" applyFill="1" applyBorder="1" applyAlignment="1">
      <alignment horizontal="right"/>
    </xf>
  </cellXfs>
  <cellStyles count="11">
    <cellStyle name="Followed Hyperlink" xfId="2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9"/>
  <sheetViews>
    <sheetView tabSelected="1" topLeftCell="C18" workbookViewId="0" xr3:uid="{AEA406A1-0E4B-5B11-9CD5-51D6E497D94C}">
      <selection activeCell="G45" sqref="G45"/>
    </sheetView>
  </sheetViews>
  <sheetFormatPr defaultColWidth="11" defaultRowHeight="15.75"/>
  <cols>
    <col min="2" max="2" width="19.375" customWidth="1"/>
    <col min="3" max="3" width="18.375" customWidth="1"/>
    <col min="4" max="4" width="25.625" bestFit="1" customWidth="1"/>
    <col min="5" max="5" width="11.5" bestFit="1" customWidth="1"/>
    <col min="6" max="6" width="11.5" customWidth="1"/>
    <col min="7" max="7" width="36.5" bestFit="1" customWidth="1"/>
    <col min="8" max="8" width="17.875" bestFit="1" customWidth="1"/>
    <col min="9" max="9" width="18.875" bestFit="1" customWidth="1"/>
    <col min="10" max="10" width="13.125" bestFit="1" customWidth="1"/>
  </cols>
  <sheetData>
    <row r="1" spans="2:10" ht="16.5" thickBot="1"/>
    <row r="2" spans="2:10" ht="16.5" thickBot="1">
      <c r="B2" s="32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6</v>
      </c>
      <c r="I2" s="33" t="s">
        <v>7</v>
      </c>
      <c r="J2" s="34" t="s">
        <v>8</v>
      </c>
    </row>
    <row r="3" spans="2:10" ht="16.5" thickBot="1">
      <c r="B3" s="2" t="s">
        <v>9</v>
      </c>
      <c r="C3" s="3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6">
        <v>42537</v>
      </c>
      <c r="I3" s="8" t="s">
        <v>15</v>
      </c>
      <c r="J3" s="4" t="s">
        <v>16</v>
      </c>
    </row>
    <row r="4" spans="2:10" ht="16.5" thickBot="1">
      <c r="B4" s="2" t="s">
        <v>9</v>
      </c>
      <c r="C4" s="3" t="s">
        <v>10</v>
      </c>
      <c r="D4" s="1" t="s">
        <v>17</v>
      </c>
      <c r="E4" s="1" t="s">
        <v>12</v>
      </c>
      <c r="F4" s="1" t="s">
        <v>13</v>
      </c>
      <c r="G4" s="1" t="s">
        <v>14</v>
      </c>
      <c r="H4" s="6">
        <v>42524</v>
      </c>
      <c r="I4" s="23"/>
      <c r="J4" s="4" t="s">
        <v>16</v>
      </c>
    </row>
    <row r="5" spans="2:10" ht="16.5" thickBot="1">
      <c r="B5" s="2" t="s">
        <v>9</v>
      </c>
      <c r="C5" s="3" t="s">
        <v>10</v>
      </c>
      <c r="D5" s="1" t="s">
        <v>18</v>
      </c>
      <c r="E5" s="1" t="s">
        <v>12</v>
      </c>
      <c r="F5" s="1" t="s">
        <v>13</v>
      </c>
      <c r="G5" s="1" t="s">
        <v>14</v>
      </c>
      <c r="H5" s="6">
        <v>42529</v>
      </c>
      <c r="I5" s="9" t="s">
        <v>16</v>
      </c>
      <c r="J5" s="4"/>
    </row>
    <row r="6" spans="2:10" ht="16.5" thickBot="1">
      <c r="B6" s="2" t="s">
        <v>9</v>
      </c>
      <c r="C6" s="3" t="s">
        <v>10</v>
      </c>
      <c r="D6" s="1" t="s">
        <v>19</v>
      </c>
      <c r="E6" s="1" t="s">
        <v>12</v>
      </c>
      <c r="F6" s="1" t="s">
        <v>13</v>
      </c>
      <c r="G6" s="1" t="s">
        <v>14</v>
      </c>
      <c r="H6" s="6">
        <v>42530</v>
      </c>
      <c r="I6" s="23"/>
      <c r="J6" s="24"/>
    </row>
    <row r="7" spans="2:10" ht="16.5" thickBot="1">
      <c r="B7" s="2" t="s">
        <v>9</v>
      </c>
      <c r="C7" s="3" t="s">
        <v>10</v>
      </c>
      <c r="D7" s="1" t="s">
        <v>20</v>
      </c>
      <c r="E7" s="1" t="s">
        <v>12</v>
      </c>
      <c r="F7" s="1" t="s">
        <v>13</v>
      </c>
      <c r="G7" s="1" t="s">
        <v>14</v>
      </c>
      <c r="H7" s="6">
        <v>42531</v>
      </c>
      <c r="I7" s="9" t="s">
        <v>16</v>
      </c>
      <c r="J7" s="4" t="s">
        <v>16</v>
      </c>
    </row>
    <row r="8" spans="2:10" ht="16.5" thickBot="1">
      <c r="B8" s="2" t="s">
        <v>9</v>
      </c>
      <c r="C8" s="3" t="s">
        <v>10</v>
      </c>
      <c r="D8" s="1" t="s">
        <v>20</v>
      </c>
      <c r="E8" s="1" t="s">
        <v>21</v>
      </c>
      <c r="F8" s="1" t="s">
        <v>22</v>
      </c>
      <c r="G8" s="1" t="s">
        <v>14</v>
      </c>
      <c r="H8" s="6">
        <v>42534</v>
      </c>
      <c r="I8" s="23"/>
      <c r="J8" s="24"/>
    </row>
    <row r="9" spans="2:10" ht="16.5" thickBot="1">
      <c r="B9" s="2" t="s">
        <v>9</v>
      </c>
      <c r="C9" s="3" t="s">
        <v>10</v>
      </c>
      <c r="D9" s="1" t="s">
        <v>23</v>
      </c>
      <c r="E9" s="1" t="s">
        <v>21</v>
      </c>
      <c r="F9" s="1" t="s">
        <v>24</v>
      </c>
      <c r="G9" s="1" t="s">
        <v>14</v>
      </c>
      <c r="H9" s="6">
        <v>42523</v>
      </c>
      <c r="I9" s="23"/>
      <c r="J9" s="24"/>
    </row>
    <row r="10" spans="2:10" ht="16.5" thickBot="1">
      <c r="B10" s="2" t="s">
        <v>9</v>
      </c>
      <c r="C10" s="3" t="s">
        <v>10</v>
      </c>
      <c r="D10" s="1" t="s">
        <v>25</v>
      </c>
      <c r="E10" s="1" t="s">
        <v>21</v>
      </c>
      <c r="F10" s="1" t="s">
        <v>13</v>
      </c>
      <c r="G10" s="1" t="s">
        <v>14</v>
      </c>
      <c r="H10" s="6">
        <v>42535</v>
      </c>
      <c r="I10" s="23"/>
      <c r="J10" s="24"/>
    </row>
    <row r="11" spans="2:10" ht="16.5" thickBot="1">
      <c r="B11" s="2" t="s">
        <v>9</v>
      </c>
      <c r="C11" s="3" t="s">
        <v>10</v>
      </c>
      <c r="D11" s="25" t="s">
        <v>26</v>
      </c>
      <c r="E11" s="1" t="s">
        <v>21</v>
      </c>
      <c r="F11" s="1" t="s">
        <v>13</v>
      </c>
      <c r="G11" s="1" t="s">
        <v>14</v>
      </c>
      <c r="H11" s="6">
        <v>42531</v>
      </c>
      <c r="I11" s="23"/>
      <c r="J11" s="24"/>
    </row>
    <row r="12" spans="2:10" ht="16.5" thickBot="1">
      <c r="B12" s="2" t="s">
        <v>9</v>
      </c>
      <c r="C12" s="3" t="s">
        <v>10</v>
      </c>
      <c r="D12" s="1" t="s">
        <v>23</v>
      </c>
      <c r="E12" s="1" t="s">
        <v>21</v>
      </c>
      <c r="F12" s="1" t="s">
        <v>13</v>
      </c>
      <c r="G12" s="1" t="s">
        <v>14</v>
      </c>
      <c r="H12" s="6">
        <v>42521</v>
      </c>
      <c r="I12" s="23"/>
      <c r="J12" s="24"/>
    </row>
    <row r="13" spans="2:10" ht="16.5" thickBot="1">
      <c r="B13" s="2" t="s">
        <v>9</v>
      </c>
      <c r="C13" s="3" t="s">
        <v>10</v>
      </c>
      <c r="D13" s="1" t="s">
        <v>25</v>
      </c>
      <c r="E13" s="1" t="s">
        <v>27</v>
      </c>
      <c r="F13" s="1" t="s">
        <v>13</v>
      </c>
      <c r="G13" s="1" t="s">
        <v>14</v>
      </c>
      <c r="H13" s="6">
        <v>42536</v>
      </c>
      <c r="I13" s="9"/>
      <c r="J13" s="5"/>
    </row>
    <row r="14" spans="2:10" ht="16.5" thickBot="1">
      <c r="B14" s="2" t="s">
        <v>9</v>
      </c>
      <c r="C14" s="3" t="s">
        <v>10</v>
      </c>
      <c r="D14" s="1" t="s">
        <v>28</v>
      </c>
      <c r="E14" s="1" t="s">
        <v>27</v>
      </c>
      <c r="F14" s="1" t="s">
        <v>13</v>
      </c>
      <c r="G14" s="1" t="s">
        <v>14</v>
      </c>
      <c r="H14" s="6">
        <v>42537</v>
      </c>
      <c r="I14" s="8"/>
      <c r="J14" s="5"/>
    </row>
    <row r="15" spans="2:10" ht="16.5" thickBot="1">
      <c r="B15" s="2" t="s">
        <v>9</v>
      </c>
      <c r="C15" s="3" t="s">
        <v>10</v>
      </c>
      <c r="D15" s="1" t="s">
        <v>17</v>
      </c>
      <c r="E15" s="1" t="s">
        <v>27</v>
      </c>
      <c r="F15" s="1" t="s">
        <v>13</v>
      </c>
      <c r="G15" s="1" t="s">
        <v>14</v>
      </c>
      <c r="H15" s="6">
        <v>42536</v>
      </c>
      <c r="I15" s="9"/>
      <c r="J15" s="4"/>
    </row>
    <row r="16" spans="2:10" ht="16.5" thickBot="1">
      <c r="B16" s="2" t="s">
        <v>9</v>
      </c>
      <c r="C16" s="3" t="s">
        <v>10</v>
      </c>
      <c r="D16" s="1" t="s">
        <v>28</v>
      </c>
      <c r="E16" s="1" t="s">
        <v>27</v>
      </c>
      <c r="F16" s="1" t="s">
        <v>13</v>
      </c>
      <c r="G16" s="1" t="s">
        <v>14</v>
      </c>
      <c r="H16" s="6">
        <v>42536</v>
      </c>
      <c r="I16" s="8"/>
      <c r="J16" s="5"/>
    </row>
    <row r="17" spans="2:10" ht="16.5" thickBot="1">
      <c r="B17" s="2" t="s">
        <v>9</v>
      </c>
      <c r="C17" s="3" t="s">
        <v>10</v>
      </c>
      <c r="D17" s="1" t="s">
        <v>11</v>
      </c>
      <c r="E17" s="1" t="s">
        <v>27</v>
      </c>
      <c r="F17" s="1" t="s">
        <v>22</v>
      </c>
      <c r="G17" s="1" t="s">
        <v>14</v>
      </c>
      <c r="H17" s="6">
        <v>42537</v>
      </c>
      <c r="I17" s="8"/>
      <c r="J17" s="5"/>
    </row>
    <row r="18" spans="2:10" ht="16.5" thickBot="1">
      <c r="B18" s="2" t="s">
        <v>9</v>
      </c>
      <c r="C18" s="3" t="s">
        <v>10</v>
      </c>
      <c r="D18" s="1" t="s">
        <v>17</v>
      </c>
      <c r="E18" s="1" t="s">
        <v>27</v>
      </c>
      <c r="F18" s="1" t="s">
        <v>13</v>
      </c>
      <c r="G18" s="1" t="s">
        <v>14</v>
      </c>
      <c r="H18" s="6">
        <v>42537</v>
      </c>
      <c r="I18" s="8"/>
      <c r="J18" s="5"/>
    </row>
    <row r="19" spans="2:10" ht="16.5" thickBot="1">
      <c r="B19" s="2" t="s">
        <v>9</v>
      </c>
      <c r="C19" s="3" t="s">
        <v>10</v>
      </c>
      <c r="D19" s="1" t="s">
        <v>25</v>
      </c>
      <c r="E19" s="1" t="s">
        <v>27</v>
      </c>
      <c r="F19" s="1" t="s">
        <v>13</v>
      </c>
      <c r="G19" s="1" t="s">
        <v>14</v>
      </c>
      <c r="H19" s="6">
        <v>42535</v>
      </c>
      <c r="I19" s="8"/>
      <c r="J19" s="5"/>
    </row>
    <row r="20" spans="2:10" ht="16.5" thickBot="1">
      <c r="B20" s="2" t="s">
        <v>9</v>
      </c>
      <c r="C20" s="3" t="s">
        <v>10</v>
      </c>
      <c r="D20" s="1" t="s">
        <v>23</v>
      </c>
      <c r="E20" s="1" t="s">
        <v>27</v>
      </c>
      <c r="F20" s="1" t="s">
        <v>22</v>
      </c>
      <c r="G20" s="1" t="s">
        <v>14</v>
      </c>
      <c r="H20" s="6">
        <v>42536</v>
      </c>
      <c r="I20" s="9"/>
      <c r="J20" s="4"/>
    </row>
    <row r="21" spans="2:10" ht="16.5" thickBot="1">
      <c r="B21" s="2" t="s">
        <v>9</v>
      </c>
      <c r="C21" s="3" t="s">
        <v>10</v>
      </c>
      <c r="D21" s="1" t="s">
        <v>23</v>
      </c>
      <c r="E21" s="1" t="s">
        <v>27</v>
      </c>
      <c r="F21" s="1" t="s">
        <v>29</v>
      </c>
      <c r="G21" s="1" t="s">
        <v>14</v>
      </c>
      <c r="H21" s="6">
        <v>42536</v>
      </c>
      <c r="I21" s="9"/>
      <c r="J21" s="5"/>
    </row>
    <row r="22" spans="2:10" ht="16.5" thickBot="1">
      <c r="B22" s="2" t="s">
        <v>9</v>
      </c>
      <c r="C22" s="3" t="s">
        <v>10</v>
      </c>
      <c r="D22" s="1" t="s">
        <v>30</v>
      </c>
      <c r="E22" s="1" t="s">
        <v>27</v>
      </c>
      <c r="F22" s="1" t="s">
        <v>31</v>
      </c>
      <c r="G22" s="1" t="s">
        <v>14</v>
      </c>
      <c r="H22" s="6">
        <v>42536</v>
      </c>
      <c r="I22" s="9"/>
      <c r="J22" s="5"/>
    </row>
    <row r="23" spans="2:10" ht="16.5" thickBot="1">
      <c r="B23" s="2" t="s">
        <v>9</v>
      </c>
      <c r="C23" s="3" t="s">
        <v>10</v>
      </c>
      <c r="D23" s="1" t="s">
        <v>18</v>
      </c>
      <c r="E23" s="1" t="s">
        <v>27</v>
      </c>
      <c r="F23" s="1" t="s">
        <v>29</v>
      </c>
      <c r="G23" s="1" t="s">
        <v>14</v>
      </c>
      <c r="H23" s="6">
        <v>42536</v>
      </c>
      <c r="I23" s="9"/>
      <c r="J23" s="4"/>
    </row>
    <row r="24" spans="2:10" ht="16.5" thickBot="1">
      <c r="B24" s="2" t="s">
        <v>9</v>
      </c>
      <c r="C24" s="3" t="s">
        <v>10</v>
      </c>
      <c r="D24" s="1" t="s">
        <v>20</v>
      </c>
      <c r="E24" s="1" t="s">
        <v>27</v>
      </c>
      <c r="F24" s="1" t="s">
        <v>24</v>
      </c>
      <c r="G24" s="1" t="s">
        <v>14</v>
      </c>
      <c r="H24" s="6">
        <v>42537</v>
      </c>
      <c r="I24" s="8"/>
      <c r="J24" s="5"/>
    </row>
    <row r="25" spans="2:10" ht="16.5" thickBot="1">
      <c r="B25" s="2" t="s">
        <v>9</v>
      </c>
      <c r="C25" s="3" t="s">
        <v>10</v>
      </c>
      <c r="D25" s="1" t="s">
        <v>20</v>
      </c>
      <c r="E25" s="1" t="s">
        <v>27</v>
      </c>
      <c r="F25" s="1" t="s">
        <v>24</v>
      </c>
      <c r="G25" s="1" t="s">
        <v>14</v>
      </c>
      <c r="H25" s="6">
        <v>42537</v>
      </c>
      <c r="I25" s="8"/>
      <c r="J25" s="5"/>
    </row>
    <row r="26" spans="2:10" ht="16.5" thickBot="1">
      <c r="B26" s="2" t="s">
        <v>9</v>
      </c>
      <c r="C26" s="3" t="s">
        <v>10</v>
      </c>
      <c r="D26" s="1" t="s">
        <v>25</v>
      </c>
      <c r="E26" s="1" t="s">
        <v>27</v>
      </c>
      <c r="F26" s="1" t="s">
        <v>31</v>
      </c>
      <c r="G26" s="1" t="s">
        <v>14</v>
      </c>
      <c r="H26" s="6">
        <v>42536</v>
      </c>
      <c r="I26" s="9"/>
      <c r="J26" s="5"/>
    </row>
    <row r="27" spans="2:10" ht="16.5" thickBot="1">
      <c r="B27" s="2" t="s">
        <v>9</v>
      </c>
      <c r="C27" s="3" t="s">
        <v>10</v>
      </c>
      <c r="D27" s="1" t="s">
        <v>23</v>
      </c>
      <c r="E27" s="1" t="s">
        <v>27</v>
      </c>
      <c r="F27" s="1" t="s">
        <v>22</v>
      </c>
      <c r="G27" s="1" t="s">
        <v>14</v>
      </c>
      <c r="H27" s="6">
        <v>42537</v>
      </c>
      <c r="I27" s="9"/>
      <c r="J27" s="4"/>
    </row>
    <row r="28" spans="2:10" ht="16.5" thickBot="1">
      <c r="B28" s="2" t="s">
        <v>9</v>
      </c>
      <c r="C28" s="3" t="s">
        <v>10</v>
      </c>
      <c r="D28" s="1" t="s">
        <v>20</v>
      </c>
      <c r="E28" s="1" t="s">
        <v>32</v>
      </c>
      <c r="F28" s="1" t="s">
        <v>13</v>
      </c>
      <c r="G28" s="1" t="s">
        <v>14</v>
      </c>
      <c r="H28" s="6">
        <v>42529</v>
      </c>
      <c r="I28" s="9"/>
      <c r="J28" s="4"/>
    </row>
    <row r="29" spans="2:10" ht="16.5" thickBot="1">
      <c r="B29" s="2" t="s">
        <v>9</v>
      </c>
      <c r="C29" s="3" t="s">
        <v>10</v>
      </c>
      <c r="D29" s="1" t="s">
        <v>30</v>
      </c>
      <c r="E29" s="1" t="s">
        <v>33</v>
      </c>
      <c r="F29" s="1" t="s">
        <v>22</v>
      </c>
      <c r="G29" s="1" t="s">
        <v>14</v>
      </c>
      <c r="H29" s="6">
        <v>42542</v>
      </c>
      <c r="I29" s="9"/>
      <c r="J29" s="4"/>
    </row>
    <row r="30" spans="2:10" ht="16.5" thickBot="1">
      <c r="B30" s="2" t="s">
        <v>9</v>
      </c>
      <c r="C30" s="3" t="s">
        <v>10</v>
      </c>
      <c r="D30" s="1" t="s">
        <v>23</v>
      </c>
      <c r="E30" s="1" t="s">
        <v>33</v>
      </c>
      <c r="F30" s="1" t="s">
        <v>22</v>
      </c>
      <c r="G30" s="1" t="s">
        <v>14</v>
      </c>
      <c r="H30" s="6">
        <v>42542</v>
      </c>
      <c r="I30" s="8"/>
      <c r="J30" s="5"/>
    </row>
    <row r="31" spans="2:10" ht="16.5" thickBot="1">
      <c r="B31" s="2" t="s">
        <v>9</v>
      </c>
      <c r="C31" s="3" t="s">
        <v>10</v>
      </c>
      <c r="D31" s="1" t="s">
        <v>11</v>
      </c>
      <c r="E31" s="1" t="s">
        <v>33</v>
      </c>
      <c r="F31" s="1" t="s">
        <v>13</v>
      </c>
      <c r="G31" s="1" t="s">
        <v>14</v>
      </c>
      <c r="H31" s="6">
        <v>42542</v>
      </c>
      <c r="I31" s="9"/>
      <c r="J31" s="4"/>
    </row>
    <row r="32" spans="2:10" ht="16.5" thickBot="1">
      <c r="B32" s="2" t="s">
        <v>9</v>
      </c>
      <c r="C32" s="3" t="s">
        <v>10</v>
      </c>
      <c r="D32" s="1" t="s">
        <v>11</v>
      </c>
      <c r="E32" s="1" t="s">
        <v>33</v>
      </c>
      <c r="F32" s="1" t="s">
        <v>24</v>
      </c>
      <c r="G32" s="1" t="s">
        <v>14</v>
      </c>
      <c r="H32" s="6">
        <v>42544</v>
      </c>
      <c r="I32" s="9"/>
      <c r="J32" s="4"/>
    </row>
    <row r="33" spans="2:10" ht="16.5" thickBot="1">
      <c r="B33" s="2" t="s">
        <v>9</v>
      </c>
      <c r="C33" s="3" t="s">
        <v>10</v>
      </c>
      <c r="D33" s="1" t="s">
        <v>23</v>
      </c>
      <c r="E33" s="1" t="s">
        <v>34</v>
      </c>
      <c r="F33" s="1" t="s">
        <v>13</v>
      </c>
      <c r="G33" s="1" t="s">
        <v>14</v>
      </c>
      <c r="H33" s="6">
        <v>42541</v>
      </c>
      <c r="I33" s="35"/>
      <c r="J33" s="36"/>
    </row>
    <row r="34" spans="2:10" ht="16.5" thickBot="1">
      <c r="B34" s="2" t="s">
        <v>9</v>
      </c>
      <c r="C34" s="3" t="s">
        <v>10</v>
      </c>
      <c r="D34" s="1" t="s">
        <v>25</v>
      </c>
      <c r="E34" s="1" t="s">
        <v>34</v>
      </c>
      <c r="F34" s="1" t="s">
        <v>35</v>
      </c>
      <c r="G34" s="1" t="s">
        <v>14</v>
      </c>
      <c r="H34" s="6">
        <v>42541</v>
      </c>
      <c r="I34" s="35"/>
      <c r="J34" s="36"/>
    </row>
    <row r="35" spans="2:10" ht="16.5" thickBot="1">
      <c r="B35" s="2" t="s">
        <v>9</v>
      </c>
      <c r="C35" s="3" t="s">
        <v>10</v>
      </c>
      <c r="D35" s="1" t="s">
        <v>25</v>
      </c>
      <c r="E35" s="1" t="s">
        <v>34</v>
      </c>
      <c r="F35" s="1" t="s">
        <v>35</v>
      </c>
      <c r="G35" s="1" t="s">
        <v>14</v>
      </c>
      <c r="H35" s="6">
        <v>42541</v>
      </c>
      <c r="I35" s="35"/>
      <c r="J35" s="36"/>
    </row>
    <row r="36" spans="2:10" ht="16.5" thickBot="1">
      <c r="B36" s="2" t="s">
        <v>9</v>
      </c>
      <c r="C36" s="3" t="s">
        <v>10</v>
      </c>
      <c r="D36" s="1" t="s">
        <v>11</v>
      </c>
      <c r="E36" s="1" t="s">
        <v>34</v>
      </c>
      <c r="F36" s="1" t="s">
        <v>36</v>
      </c>
      <c r="G36" s="1" t="s">
        <v>14</v>
      </c>
      <c r="H36" s="6">
        <v>42541</v>
      </c>
      <c r="I36" s="35"/>
      <c r="J36" s="36"/>
    </row>
    <row r="37" spans="2:10" ht="16.5" thickBot="1">
      <c r="B37" s="2" t="s">
        <v>9</v>
      </c>
      <c r="C37" s="3" t="s">
        <v>10</v>
      </c>
      <c r="D37" s="1" t="s">
        <v>23</v>
      </c>
      <c r="E37" s="1" t="s">
        <v>34</v>
      </c>
      <c r="F37" s="1" t="s">
        <v>24</v>
      </c>
      <c r="G37" s="1" t="s">
        <v>14</v>
      </c>
      <c r="H37" s="6">
        <v>42541</v>
      </c>
      <c r="I37" s="35"/>
      <c r="J37" s="36"/>
    </row>
    <row r="38" spans="2:10" ht="16.5" thickBot="1">
      <c r="B38" s="2" t="s">
        <v>9</v>
      </c>
      <c r="C38" s="3" t="s">
        <v>10</v>
      </c>
      <c r="D38" s="1" t="s">
        <v>23</v>
      </c>
      <c r="E38" s="1" t="s">
        <v>21</v>
      </c>
      <c r="F38" s="1" t="s">
        <v>13</v>
      </c>
      <c r="G38" s="1" t="s">
        <v>14</v>
      </c>
      <c r="H38" s="6">
        <v>42530</v>
      </c>
      <c r="I38" s="35"/>
      <c r="J38" s="36"/>
    </row>
    <row r="39" spans="2:10" ht="16.5" thickBot="1">
      <c r="B39" s="2" t="s">
        <v>9</v>
      </c>
      <c r="C39" s="3" t="s">
        <v>10</v>
      </c>
      <c r="D39" s="1" t="s">
        <v>19</v>
      </c>
      <c r="E39" s="1" t="s">
        <v>21</v>
      </c>
      <c r="F39" s="1" t="s">
        <v>29</v>
      </c>
      <c r="G39" s="1" t="s">
        <v>14</v>
      </c>
      <c r="H39" s="6">
        <v>42537</v>
      </c>
      <c r="I39" s="35"/>
      <c r="J39" s="36"/>
    </row>
    <row r="40" spans="2:10" ht="16.5" thickBot="1">
      <c r="B40" s="2" t="s">
        <v>9</v>
      </c>
      <c r="C40" s="3" t="s">
        <v>10</v>
      </c>
      <c r="D40" s="1" t="s">
        <v>20</v>
      </c>
      <c r="E40" s="1" t="s">
        <v>32</v>
      </c>
      <c r="F40" s="1" t="s">
        <v>24</v>
      </c>
      <c r="G40" s="1" t="s">
        <v>14</v>
      </c>
      <c r="H40" s="6">
        <v>42528</v>
      </c>
      <c r="I40" s="35"/>
      <c r="J40" s="36"/>
    </row>
    <row r="41" spans="2:10" ht="16.5" thickBot="1">
      <c r="B41" s="2" t="s">
        <v>9</v>
      </c>
      <c r="C41" s="3" t="s">
        <v>10</v>
      </c>
      <c r="D41" s="1" t="s">
        <v>11</v>
      </c>
      <c r="E41" s="1" t="s">
        <v>32</v>
      </c>
      <c r="F41" s="1" t="s">
        <v>24</v>
      </c>
      <c r="G41" s="1" t="s">
        <v>14</v>
      </c>
      <c r="H41" s="6">
        <v>42529</v>
      </c>
      <c r="I41" s="35"/>
      <c r="J41" s="36"/>
    </row>
    <row r="42" spans="2:10" ht="16.5" thickBot="1">
      <c r="B42" s="2" t="s">
        <v>9</v>
      </c>
      <c r="C42" s="3" t="s">
        <v>10</v>
      </c>
      <c r="D42" s="1" t="s">
        <v>23</v>
      </c>
      <c r="E42" s="1" t="s">
        <v>33</v>
      </c>
      <c r="F42" s="1" t="s">
        <v>22</v>
      </c>
      <c r="G42" s="1" t="s">
        <v>14</v>
      </c>
      <c r="H42" s="6">
        <v>42543</v>
      </c>
      <c r="I42" s="35"/>
      <c r="J42" s="36"/>
    </row>
    <row r="43" spans="2:10" ht="16.5" thickBot="1">
      <c r="B43" s="2" t="s">
        <v>9</v>
      </c>
      <c r="C43" s="3" t="s">
        <v>10</v>
      </c>
      <c r="D43" s="1" t="s">
        <v>11</v>
      </c>
      <c r="E43" s="1" t="s">
        <v>33</v>
      </c>
      <c r="F43" s="1" t="s">
        <v>13</v>
      </c>
      <c r="G43" s="1" t="s">
        <v>14</v>
      </c>
      <c r="H43" s="6">
        <v>42542</v>
      </c>
      <c r="I43" s="35"/>
      <c r="J43" s="36"/>
    </row>
    <row r="44" spans="2:10" ht="16.5" thickBot="1">
      <c r="B44" s="2" t="s">
        <v>9</v>
      </c>
      <c r="C44" s="3" t="s">
        <v>10</v>
      </c>
      <c r="D44" s="1" t="s">
        <v>19</v>
      </c>
      <c r="E44" s="1" t="s">
        <v>34</v>
      </c>
      <c r="F44" s="1" t="s">
        <v>13</v>
      </c>
      <c r="G44" s="1" t="s">
        <v>14</v>
      </c>
      <c r="H44" s="6">
        <v>42542</v>
      </c>
      <c r="I44" s="35"/>
      <c r="J44" s="36"/>
    </row>
    <row r="45" spans="2:10" ht="16.5" thickBot="1">
      <c r="B45" s="2" t="s">
        <v>9</v>
      </c>
      <c r="C45" s="3" t="s">
        <v>10</v>
      </c>
      <c r="D45" s="1" t="s">
        <v>20</v>
      </c>
      <c r="E45" s="1" t="s">
        <v>34</v>
      </c>
      <c r="F45" s="1" t="s">
        <v>13</v>
      </c>
      <c r="G45" s="1" t="s">
        <v>14</v>
      </c>
      <c r="H45" s="6">
        <v>42542</v>
      </c>
      <c r="I45" s="35"/>
      <c r="J45" s="36"/>
    </row>
    <row r="46" spans="2:10" ht="16.5" thickBot="1">
      <c r="B46" s="2" t="s">
        <v>9</v>
      </c>
      <c r="C46" s="3" t="s">
        <v>10</v>
      </c>
      <c r="D46" s="1" t="s">
        <v>23</v>
      </c>
      <c r="E46" s="1" t="s">
        <v>34</v>
      </c>
      <c r="F46" s="1" t="s">
        <v>13</v>
      </c>
      <c r="G46" s="1" t="s">
        <v>14</v>
      </c>
      <c r="H46" s="6">
        <v>42542</v>
      </c>
      <c r="I46" s="35"/>
      <c r="J46" s="36"/>
    </row>
    <row r="47" spans="2:10" ht="16.5" thickBot="1">
      <c r="B47" s="2" t="s">
        <v>9</v>
      </c>
      <c r="C47" s="3" t="s">
        <v>10</v>
      </c>
      <c r="D47" s="26" t="s">
        <v>11</v>
      </c>
      <c r="E47" s="26" t="s">
        <v>34</v>
      </c>
      <c r="F47" s="26" t="s">
        <v>13</v>
      </c>
      <c r="G47" s="1" t="s">
        <v>14</v>
      </c>
      <c r="H47" s="27">
        <v>42542</v>
      </c>
      <c r="I47" s="37"/>
      <c r="J47" s="38"/>
    </row>
    <row r="48" spans="2:10" ht="16.5" thickBot="1">
      <c r="B48" s="2" t="s">
        <v>9</v>
      </c>
      <c r="C48" s="3" t="s">
        <v>10</v>
      </c>
      <c r="D48" s="29" t="s">
        <v>30</v>
      </c>
      <c r="E48" s="29" t="s">
        <v>12</v>
      </c>
      <c r="F48" s="29" t="s">
        <v>13</v>
      </c>
      <c r="G48" s="1" t="s">
        <v>14</v>
      </c>
      <c r="H48" s="7">
        <v>42548</v>
      </c>
      <c r="I48" s="5"/>
      <c r="J48" s="5"/>
    </row>
    <row r="49" spans="2:2">
      <c r="B49">
        <f>COUNTA(B3:B48)</f>
        <v>46</v>
      </c>
    </row>
  </sheetData>
  <autoFilter ref="B2:J49" xr:uid="{00000000-0009-0000-0000-000000000000}">
    <sortState ref="B3:I30">
      <sortCondition ref="D2:D30"/>
    </sortState>
  </autoFilter>
  <phoneticPr fontId="4" type="noConversion"/>
  <pageMargins left="0.75" right="0.75" top="1" bottom="1" header="0.5" footer="0.5"/>
  <pageSetup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8"/>
  <sheetViews>
    <sheetView zoomScale="125" zoomScaleNormal="125" zoomScalePageLayoutView="125" workbookViewId="0" xr3:uid="{958C4451-9541-5A59-BF78-D2F731DF1C81}">
      <selection activeCell="G6" sqref="G6"/>
    </sheetView>
  </sheetViews>
  <sheetFormatPr defaultColWidth="11" defaultRowHeight="15.75"/>
  <cols>
    <col min="1" max="1" width="8.125" customWidth="1"/>
    <col min="2" max="2" width="4.875" customWidth="1"/>
    <col min="3" max="3" width="23.625" customWidth="1"/>
    <col min="4" max="4" width="19.375" customWidth="1"/>
  </cols>
  <sheetData>
    <row r="2" spans="2:5">
      <c r="B2" s="14" t="s">
        <v>37</v>
      </c>
      <c r="C2" s="15" t="s">
        <v>38</v>
      </c>
      <c r="D2" s="15" t="s">
        <v>39</v>
      </c>
      <c r="E2" s="15" t="s">
        <v>40</v>
      </c>
    </row>
    <row r="3" spans="2:5" ht="31.5">
      <c r="B3" s="16">
        <v>1</v>
      </c>
      <c r="C3" s="17" t="s">
        <v>41</v>
      </c>
      <c r="D3" s="18" t="s">
        <v>42</v>
      </c>
      <c r="E3" s="19">
        <f>COUNTIF('Example - OVOC Scheduling'!D3:D47, "Engineer")</f>
        <v>0</v>
      </c>
    </row>
    <row r="4" spans="2:5" ht="31.5">
      <c r="B4" s="16">
        <v>2</v>
      </c>
      <c r="C4" s="20" t="s">
        <v>43</v>
      </c>
      <c r="D4" s="21" t="s">
        <v>44</v>
      </c>
      <c r="E4" s="22">
        <f>COUNTIF('Example - OVOC Scheduling'!D3:D47, "Mid-Level Manager")</f>
        <v>0</v>
      </c>
    </row>
    <row r="5" spans="2:5" ht="31.5">
      <c r="B5" s="16">
        <v>3</v>
      </c>
      <c r="C5" s="17" t="s">
        <v>45</v>
      </c>
      <c r="D5" s="18" t="s">
        <v>46</v>
      </c>
      <c r="E5" s="19">
        <f>COUNTIF('Example - OVOC Scheduling'!D3:D47, "Sales Mobile")</f>
        <v>0</v>
      </c>
    </row>
    <row r="6" spans="2:5" ht="31.5">
      <c r="B6" s="16">
        <v>4</v>
      </c>
      <c r="C6" s="10" t="s">
        <v>47</v>
      </c>
      <c r="D6" s="11" t="s">
        <v>48</v>
      </c>
      <c r="E6" s="12">
        <f>COUNTIF('Example - OVOC Scheduling'!D3:D47, "Executive")</f>
        <v>0</v>
      </c>
    </row>
    <row r="7" spans="2:5" ht="31.5">
      <c r="B7" s="16">
        <v>5</v>
      </c>
      <c r="C7" s="17" t="s">
        <v>49</v>
      </c>
      <c r="D7" s="18" t="s">
        <v>50</v>
      </c>
      <c r="E7" s="19">
        <f>COUNTIF('Example - OVOC Scheduling'!D3:D47, "Admin")</f>
        <v>0</v>
      </c>
    </row>
    <row r="8" spans="2:5">
      <c r="B8" s="15"/>
      <c r="C8" s="44" t="s">
        <v>51</v>
      </c>
      <c r="D8" s="45"/>
      <c r="E8" s="13">
        <f>SUM(E3:E7)</f>
        <v>0</v>
      </c>
    </row>
  </sheetData>
  <mergeCells count="1">
    <mergeCell ref="C8:D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0"/>
  <sheetViews>
    <sheetView topLeftCell="A25" zoomScale="120" zoomScaleNormal="120" zoomScalePageLayoutView="120" workbookViewId="0" xr3:uid="{842E5F09-E766-5B8D-85AF-A39847EA96FD}">
      <selection activeCell="A2" sqref="A2:B47"/>
    </sheetView>
  </sheetViews>
  <sheetFormatPr defaultColWidth="8.875" defaultRowHeight="15.75"/>
  <cols>
    <col min="1" max="1" width="13.5" bestFit="1" customWidth="1"/>
    <col min="2" max="2" width="13.625" bestFit="1" customWidth="1"/>
    <col min="3" max="3" width="24.625" bestFit="1" customWidth="1"/>
    <col min="4" max="4" width="9.875" bestFit="1" customWidth="1"/>
    <col min="5" max="5" width="8.125" bestFit="1" customWidth="1"/>
    <col min="6" max="6" width="11.125" bestFit="1" customWidth="1"/>
    <col min="7" max="7" width="8" bestFit="1" customWidth="1"/>
    <col min="8" max="8" width="9.375" bestFit="1" customWidth="1"/>
    <col min="9" max="9" width="22.5" bestFit="1" customWidth="1"/>
    <col min="10" max="10" width="9.125" bestFit="1" customWidth="1"/>
    <col min="11" max="11" width="26.5" bestFit="1" customWidth="1"/>
    <col min="12" max="12" width="25.625" bestFit="1" customWidth="1"/>
    <col min="13" max="13" width="31.5" bestFit="1" customWidth="1"/>
    <col min="14" max="14" width="17.375" bestFit="1" customWidth="1"/>
  </cols>
  <sheetData>
    <row r="1" spans="1:14" ht="16.5" thickBot="1">
      <c r="A1" s="41" t="s">
        <v>0</v>
      </c>
      <c r="B1" s="39" t="s">
        <v>1</v>
      </c>
      <c r="C1" s="39" t="s">
        <v>2</v>
      </c>
      <c r="D1" s="39" t="s">
        <v>52</v>
      </c>
      <c r="E1" s="39" t="s">
        <v>4</v>
      </c>
      <c r="F1" s="39" t="s">
        <v>53</v>
      </c>
      <c r="G1" s="39" t="s">
        <v>54</v>
      </c>
      <c r="H1" s="39" t="s">
        <v>55</v>
      </c>
      <c r="I1" s="39" t="s">
        <v>56</v>
      </c>
      <c r="J1" s="39" t="s">
        <v>57</v>
      </c>
      <c r="K1" s="39" t="s">
        <v>58</v>
      </c>
      <c r="L1" s="39" t="s">
        <v>59</v>
      </c>
      <c r="M1" s="40" t="s">
        <v>60</v>
      </c>
      <c r="N1" s="42" t="s">
        <v>6</v>
      </c>
    </row>
    <row r="2" spans="1:14" ht="16.5" thickBot="1">
      <c r="A2" s="2" t="s">
        <v>9</v>
      </c>
      <c r="B2" s="3" t="s">
        <v>10</v>
      </c>
      <c r="C2" s="3" t="s">
        <v>11</v>
      </c>
      <c r="D2" s="3" t="s">
        <v>61</v>
      </c>
      <c r="E2" s="3" t="s">
        <v>13</v>
      </c>
      <c r="F2" s="3" t="s">
        <v>16</v>
      </c>
      <c r="G2" s="3" t="s">
        <v>16</v>
      </c>
      <c r="H2" s="3"/>
      <c r="I2" s="3"/>
      <c r="J2" s="3" t="s">
        <v>16</v>
      </c>
      <c r="K2" s="3" t="s">
        <v>16</v>
      </c>
      <c r="L2" s="3" t="s">
        <v>62</v>
      </c>
      <c r="M2" s="31" t="s">
        <v>16</v>
      </c>
      <c r="N2" s="6">
        <v>42537</v>
      </c>
    </row>
    <row r="3" spans="1:14" ht="16.5" thickBot="1">
      <c r="A3" s="2" t="s">
        <v>9</v>
      </c>
      <c r="B3" s="3" t="s">
        <v>10</v>
      </c>
      <c r="C3" s="1" t="s">
        <v>18</v>
      </c>
      <c r="D3" s="1" t="s">
        <v>61</v>
      </c>
      <c r="E3" s="1" t="s">
        <v>13</v>
      </c>
      <c r="F3" s="1" t="s">
        <v>16</v>
      </c>
      <c r="G3" s="1" t="s">
        <v>16</v>
      </c>
      <c r="H3" s="1"/>
      <c r="I3" s="1"/>
      <c r="J3" s="1" t="s">
        <v>16</v>
      </c>
      <c r="K3" s="1" t="s">
        <v>16</v>
      </c>
      <c r="L3" s="1" t="s">
        <v>16</v>
      </c>
      <c r="M3" s="28" t="s">
        <v>16</v>
      </c>
      <c r="N3" s="6">
        <v>42524</v>
      </c>
    </row>
    <row r="4" spans="1:14" ht="16.5" thickBot="1">
      <c r="A4" s="2" t="s">
        <v>9</v>
      </c>
      <c r="B4" s="3" t="s">
        <v>10</v>
      </c>
      <c r="C4" s="1" t="s">
        <v>18</v>
      </c>
      <c r="D4" s="1" t="s">
        <v>61</v>
      </c>
      <c r="E4" s="1" t="s">
        <v>13</v>
      </c>
      <c r="F4" s="1"/>
      <c r="G4" s="1" t="s">
        <v>16</v>
      </c>
      <c r="H4" s="1"/>
      <c r="I4" s="1"/>
      <c r="J4" s="1"/>
      <c r="K4" s="1" t="s">
        <v>16</v>
      </c>
      <c r="L4" s="1" t="s">
        <v>62</v>
      </c>
      <c r="M4" s="28" t="s">
        <v>16</v>
      </c>
      <c r="N4" s="6">
        <v>42529</v>
      </c>
    </row>
    <row r="5" spans="1:14" ht="16.5" thickBot="1">
      <c r="A5" s="2" t="s">
        <v>9</v>
      </c>
      <c r="B5" s="3" t="s">
        <v>10</v>
      </c>
      <c r="C5" s="1" t="s">
        <v>19</v>
      </c>
      <c r="D5" s="1" t="s">
        <v>61</v>
      </c>
      <c r="E5" s="1" t="s">
        <v>13</v>
      </c>
      <c r="F5" s="1" t="s">
        <v>16</v>
      </c>
      <c r="G5" s="1"/>
      <c r="H5" s="1"/>
      <c r="I5" s="1"/>
      <c r="J5" s="1"/>
      <c r="K5" s="1" t="s">
        <v>16</v>
      </c>
      <c r="L5" s="1" t="s">
        <v>62</v>
      </c>
      <c r="M5" s="28" t="s">
        <v>16</v>
      </c>
      <c r="N5" s="6">
        <v>42530</v>
      </c>
    </row>
    <row r="6" spans="1:14" ht="16.5" thickBot="1">
      <c r="A6" s="2" t="s">
        <v>9</v>
      </c>
      <c r="B6" s="3" t="s">
        <v>10</v>
      </c>
      <c r="C6" s="1" t="s">
        <v>20</v>
      </c>
      <c r="D6" s="1" t="s">
        <v>61</v>
      </c>
      <c r="E6" s="1" t="s">
        <v>13</v>
      </c>
      <c r="F6" s="1"/>
      <c r="G6" s="1" t="s">
        <v>16</v>
      </c>
      <c r="H6" s="1"/>
      <c r="I6" s="1"/>
      <c r="J6" s="1"/>
      <c r="K6" s="1" t="s">
        <v>16</v>
      </c>
      <c r="L6" s="1" t="s">
        <v>62</v>
      </c>
      <c r="M6" s="28" t="s">
        <v>16</v>
      </c>
      <c r="N6" s="6">
        <v>42531</v>
      </c>
    </row>
    <row r="7" spans="1:14" ht="16.5" thickBot="1">
      <c r="A7" s="2" t="s">
        <v>9</v>
      </c>
      <c r="B7" s="3" t="s">
        <v>10</v>
      </c>
      <c r="C7" s="1" t="s">
        <v>20</v>
      </c>
      <c r="D7" s="1" t="s">
        <v>63</v>
      </c>
      <c r="E7" s="1" t="s">
        <v>22</v>
      </c>
      <c r="F7" s="1"/>
      <c r="G7" s="1"/>
      <c r="H7" s="1" t="s">
        <v>16</v>
      </c>
      <c r="I7" s="1" t="s">
        <v>16</v>
      </c>
      <c r="J7" s="1"/>
      <c r="K7" s="1" t="s">
        <v>16</v>
      </c>
      <c r="L7" s="1" t="s">
        <v>62</v>
      </c>
      <c r="M7" s="28" t="s">
        <v>16</v>
      </c>
      <c r="N7" s="6">
        <v>42534</v>
      </c>
    </row>
    <row r="8" spans="1:14" ht="16.5" thickBot="1">
      <c r="A8" s="2" t="s">
        <v>9</v>
      </c>
      <c r="B8" s="3" t="s">
        <v>10</v>
      </c>
      <c r="C8" s="1" t="s">
        <v>23</v>
      </c>
      <c r="D8" s="1" t="s">
        <v>63</v>
      </c>
      <c r="E8" s="1" t="s">
        <v>24</v>
      </c>
      <c r="F8" s="1" t="s">
        <v>16</v>
      </c>
      <c r="G8" s="1"/>
      <c r="H8" s="1"/>
      <c r="I8" s="1"/>
      <c r="J8" s="1"/>
      <c r="K8" s="1"/>
      <c r="L8" s="1" t="s">
        <v>62</v>
      </c>
      <c r="M8" s="28" t="s">
        <v>16</v>
      </c>
      <c r="N8" s="6">
        <v>42523</v>
      </c>
    </row>
    <row r="9" spans="1:14" ht="16.5" thickBot="1">
      <c r="A9" s="2" t="s">
        <v>9</v>
      </c>
      <c r="B9" s="3" t="s">
        <v>10</v>
      </c>
      <c r="C9" s="1" t="s">
        <v>25</v>
      </c>
      <c r="D9" s="1" t="s">
        <v>63</v>
      </c>
      <c r="E9" s="1" t="s">
        <v>13</v>
      </c>
      <c r="F9" s="1" t="s">
        <v>16</v>
      </c>
      <c r="G9" s="1"/>
      <c r="H9" s="1"/>
      <c r="I9" s="1" t="s">
        <v>16</v>
      </c>
      <c r="J9" s="1"/>
      <c r="K9" s="1" t="s">
        <v>16</v>
      </c>
      <c r="L9" s="1" t="s">
        <v>62</v>
      </c>
      <c r="M9" s="28"/>
      <c r="N9" s="6">
        <v>42535</v>
      </c>
    </row>
    <row r="10" spans="1:14" ht="16.5" thickBot="1">
      <c r="A10" s="2" t="s">
        <v>9</v>
      </c>
      <c r="B10" s="3" t="s">
        <v>10</v>
      </c>
      <c r="C10" s="25" t="s">
        <v>26</v>
      </c>
      <c r="D10" s="1" t="s">
        <v>63</v>
      </c>
      <c r="E10" s="1" t="s">
        <v>13</v>
      </c>
      <c r="F10" s="1" t="s">
        <v>16</v>
      </c>
      <c r="G10" s="1"/>
      <c r="H10" s="1"/>
      <c r="I10" s="1" t="s">
        <v>16</v>
      </c>
      <c r="J10" s="1"/>
      <c r="K10" s="1" t="s">
        <v>16</v>
      </c>
      <c r="L10" s="1" t="s">
        <v>62</v>
      </c>
      <c r="M10" s="28" t="s">
        <v>16</v>
      </c>
      <c r="N10" s="6">
        <v>42531</v>
      </c>
    </row>
    <row r="11" spans="1:14" ht="16.5" thickBot="1">
      <c r="A11" s="2" t="s">
        <v>9</v>
      </c>
      <c r="B11" s="3" t="s">
        <v>10</v>
      </c>
      <c r="C11" s="1" t="s">
        <v>23</v>
      </c>
      <c r="D11" s="1" t="s">
        <v>63</v>
      </c>
      <c r="E11" s="1" t="s">
        <v>13</v>
      </c>
      <c r="F11" s="1"/>
      <c r="G11" s="1"/>
      <c r="H11" s="1"/>
      <c r="I11" s="1" t="s">
        <v>16</v>
      </c>
      <c r="J11" s="1"/>
      <c r="K11" s="1" t="s">
        <v>16</v>
      </c>
      <c r="L11" s="1" t="s">
        <v>16</v>
      </c>
      <c r="M11" s="28"/>
      <c r="N11" s="6">
        <v>42521</v>
      </c>
    </row>
    <row r="12" spans="1:14" ht="16.5" thickBot="1">
      <c r="A12" s="2" t="s">
        <v>9</v>
      </c>
      <c r="B12" s="3" t="s">
        <v>10</v>
      </c>
      <c r="C12" s="1" t="s">
        <v>25</v>
      </c>
      <c r="D12" s="1" t="s">
        <v>64</v>
      </c>
      <c r="E12" s="1" t="s">
        <v>13</v>
      </c>
      <c r="F12" s="1"/>
      <c r="G12" s="1"/>
      <c r="H12" s="1"/>
      <c r="I12" s="1"/>
      <c r="J12" s="1" t="s">
        <v>16</v>
      </c>
      <c r="K12" s="1" t="s">
        <v>16</v>
      </c>
      <c r="L12" s="1" t="s">
        <v>62</v>
      </c>
      <c r="M12" s="28" t="s">
        <v>16</v>
      </c>
      <c r="N12" s="6">
        <v>42536</v>
      </c>
    </row>
    <row r="13" spans="1:14" ht="16.5" thickBot="1">
      <c r="A13" s="2" t="s">
        <v>9</v>
      </c>
      <c r="B13" s="3" t="s">
        <v>10</v>
      </c>
      <c r="C13" s="1" t="s">
        <v>18</v>
      </c>
      <c r="D13" s="1" t="s">
        <v>64</v>
      </c>
      <c r="E13" s="1" t="s">
        <v>13</v>
      </c>
      <c r="F13" s="1"/>
      <c r="G13" s="1"/>
      <c r="H13" s="1"/>
      <c r="I13" s="1"/>
      <c r="J13" s="1"/>
      <c r="K13" s="1"/>
      <c r="L13" s="1" t="s">
        <v>62</v>
      </c>
      <c r="M13" s="28"/>
      <c r="N13" s="6">
        <v>42537</v>
      </c>
    </row>
    <row r="14" spans="1:14" ht="16.5" thickBot="1">
      <c r="A14" s="2" t="s">
        <v>9</v>
      </c>
      <c r="B14" s="3" t="s">
        <v>10</v>
      </c>
      <c r="C14" s="1" t="s">
        <v>18</v>
      </c>
      <c r="D14" s="1" t="s">
        <v>64</v>
      </c>
      <c r="E14" s="1" t="s">
        <v>13</v>
      </c>
      <c r="F14" s="1"/>
      <c r="G14" s="1"/>
      <c r="H14" s="1"/>
      <c r="I14" s="1"/>
      <c r="J14" s="1"/>
      <c r="K14" s="1"/>
      <c r="L14" s="1" t="s">
        <v>62</v>
      </c>
      <c r="M14" s="28"/>
      <c r="N14" s="6">
        <v>42536</v>
      </c>
    </row>
    <row r="15" spans="1:14" ht="16.5" thickBot="1">
      <c r="A15" s="2" t="s">
        <v>9</v>
      </c>
      <c r="B15" s="3" t="s">
        <v>10</v>
      </c>
      <c r="C15" s="1" t="s">
        <v>18</v>
      </c>
      <c r="D15" s="1" t="s">
        <v>64</v>
      </c>
      <c r="E15" s="1" t="s">
        <v>13</v>
      </c>
      <c r="F15" s="1"/>
      <c r="G15" s="1"/>
      <c r="H15" s="1"/>
      <c r="I15" s="1"/>
      <c r="J15" s="1"/>
      <c r="K15" s="1"/>
      <c r="L15" s="1" t="s">
        <v>62</v>
      </c>
      <c r="M15" s="28"/>
      <c r="N15" s="6">
        <v>42536</v>
      </c>
    </row>
    <row r="16" spans="1:14" ht="16.5" thickBot="1">
      <c r="A16" s="2" t="s">
        <v>9</v>
      </c>
      <c r="B16" s="3" t="s">
        <v>10</v>
      </c>
      <c r="C16" s="1" t="s">
        <v>11</v>
      </c>
      <c r="D16" s="1" t="s">
        <v>64</v>
      </c>
      <c r="E16" s="1" t="s">
        <v>22</v>
      </c>
      <c r="F16" s="1"/>
      <c r="G16" s="1"/>
      <c r="H16" s="1"/>
      <c r="I16" s="1"/>
      <c r="J16" s="1"/>
      <c r="K16" s="1"/>
      <c r="L16" s="1" t="s">
        <v>62</v>
      </c>
      <c r="M16" s="28" t="s">
        <v>16</v>
      </c>
      <c r="N16" s="6">
        <v>42537</v>
      </c>
    </row>
    <row r="17" spans="1:14" ht="16.5" thickBot="1">
      <c r="A17" s="2" t="s">
        <v>9</v>
      </c>
      <c r="B17" s="3" t="s">
        <v>10</v>
      </c>
      <c r="C17" s="1" t="s">
        <v>18</v>
      </c>
      <c r="D17" s="1" t="s">
        <v>64</v>
      </c>
      <c r="E17" s="1" t="s">
        <v>13</v>
      </c>
      <c r="F17" s="1"/>
      <c r="G17" s="1"/>
      <c r="H17" s="1" t="s">
        <v>16</v>
      </c>
      <c r="I17" s="1" t="s">
        <v>16</v>
      </c>
      <c r="J17" s="1" t="s">
        <v>16</v>
      </c>
      <c r="K17" s="1" t="s">
        <v>16</v>
      </c>
      <c r="L17" s="1" t="s">
        <v>62</v>
      </c>
      <c r="M17" s="28" t="s">
        <v>16</v>
      </c>
      <c r="N17" s="6">
        <v>42537</v>
      </c>
    </row>
    <row r="18" spans="1:14" ht="16.5" thickBot="1">
      <c r="A18" s="2" t="s">
        <v>9</v>
      </c>
      <c r="B18" s="3" t="s">
        <v>10</v>
      </c>
      <c r="C18" s="1" t="s">
        <v>25</v>
      </c>
      <c r="D18" s="1" t="s">
        <v>64</v>
      </c>
      <c r="E18" s="1" t="s">
        <v>13</v>
      </c>
      <c r="F18" s="1"/>
      <c r="G18" s="1"/>
      <c r="H18" s="1"/>
      <c r="I18" s="1"/>
      <c r="J18" s="1" t="s">
        <v>16</v>
      </c>
      <c r="K18" s="1" t="s">
        <v>16</v>
      </c>
      <c r="L18" s="1" t="s">
        <v>62</v>
      </c>
      <c r="M18" s="28" t="s">
        <v>16</v>
      </c>
      <c r="N18" s="6">
        <v>42535</v>
      </c>
    </row>
    <row r="19" spans="1:14" ht="16.5" thickBot="1">
      <c r="A19" s="2" t="s">
        <v>9</v>
      </c>
      <c r="B19" s="3" t="s">
        <v>10</v>
      </c>
      <c r="C19" s="1" t="s">
        <v>23</v>
      </c>
      <c r="D19" s="1" t="s">
        <v>64</v>
      </c>
      <c r="E19" s="1" t="s">
        <v>22</v>
      </c>
      <c r="F19" s="1"/>
      <c r="G19" s="1"/>
      <c r="H19" s="1"/>
      <c r="I19" s="1"/>
      <c r="J19" s="1" t="s">
        <v>16</v>
      </c>
      <c r="K19" s="1" t="s">
        <v>16</v>
      </c>
      <c r="L19" s="1" t="s">
        <v>62</v>
      </c>
      <c r="M19" s="28" t="s">
        <v>16</v>
      </c>
      <c r="N19" s="6">
        <v>42536</v>
      </c>
    </row>
    <row r="20" spans="1:14" ht="16.5" thickBot="1">
      <c r="A20" s="2" t="s">
        <v>9</v>
      </c>
      <c r="B20" s="3" t="s">
        <v>10</v>
      </c>
      <c r="C20" s="1" t="s">
        <v>23</v>
      </c>
      <c r="D20" s="1" t="s">
        <v>64</v>
      </c>
      <c r="E20" s="1" t="s">
        <v>29</v>
      </c>
      <c r="F20" s="1"/>
      <c r="G20" s="1"/>
      <c r="H20" s="1"/>
      <c r="I20" s="1" t="s">
        <v>16</v>
      </c>
      <c r="J20" s="1" t="s">
        <v>16</v>
      </c>
      <c r="K20" s="1" t="s">
        <v>16</v>
      </c>
      <c r="L20" s="1" t="s">
        <v>62</v>
      </c>
      <c r="M20" s="28" t="s">
        <v>16</v>
      </c>
      <c r="N20" s="6">
        <v>42536</v>
      </c>
    </row>
    <row r="21" spans="1:14" ht="16.5" thickBot="1">
      <c r="A21" s="2" t="s">
        <v>9</v>
      </c>
      <c r="B21" s="3" t="s">
        <v>10</v>
      </c>
      <c r="C21" s="1" t="s">
        <v>30</v>
      </c>
      <c r="D21" s="1" t="s">
        <v>64</v>
      </c>
      <c r="E21" s="1" t="s">
        <v>31</v>
      </c>
      <c r="F21" s="1"/>
      <c r="G21" s="1"/>
      <c r="H21" s="1"/>
      <c r="I21" s="1"/>
      <c r="J21" s="1" t="s">
        <v>16</v>
      </c>
      <c r="K21" s="1"/>
      <c r="L21" s="1" t="s">
        <v>62</v>
      </c>
      <c r="M21" s="28" t="s">
        <v>16</v>
      </c>
      <c r="N21" s="6">
        <v>42536</v>
      </c>
    </row>
    <row r="22" spans="1:14" ht="16.5" thickBot="1">
      <c r="A22" s="2" t="s">
        <v>9</v>
      </c>
      <c r="B22" s="3" t="s">
        <v>10</v>
      </c>
      <c r="C22" s="1" t="s">
        <v>18</v>
      </c>
      <c r="D22" s="1" t="s">
        <v>64</v>
      </c>
      <c r="E22" s="1" t="s">
        <v>29</v>
      </c>
      <c r="F22" s="1"/>
      <c r="G22" s="1"/>
      <c r="H22" s="1"/>
      <c r="I22" s="1"/>
      <c r="J22" s="1"/>
      <c r="K22" s="1"/>
      <c r="L22" s="1" t="s">
        <v>62</v>
      </c>
      <c r="M22" s="28" t="s">
        <v>16</v>
      </c>
      <c r="N22" s="6">
        <v>42536</v>
      </c>
    </row>
    <row r="23" spans="1:14" ht="16.5" thickBot="1">
      <c r="A23" s="2" t="s">
        <v>9</v>
      </c>
      <c r="B23" s="3" t="s">
        <v>10</v>
      </c>
      <c r="C23" s="1" t="s">
        <v>20</v>
      </c>
      <c r="D23" s="1" t="s">
        <v>64</v>
      </c>
      <c r="E23" s="1" t="s">
        <v>24</v>
      </c>
      <c r="F23" s="1" t="s">
        <v>16</v>
      </c>
      <c r="G23" s="1"/>
      <c r="H23" s="1" t="s">
        <v>16</v>
      </c>
      <c r="I23" s="1" t="s">
        <v>16</v>
      </c>
      <c r="J23" s="1" t="s">
        <v>16</v>
      </c>
      <c r="K23" s="1"/>
      <c r="L23" s="1" t="s">
        <v>62</v>
      </c>
      <c r="M23" s="28" t="s">
        <v>16</v>
      </c>
      <c r="N23" s="6">
        <v>42537</v>
      </c>
    </row>
    <row r="24" spans="1:14" ht="16.5" thickBot="1">
      <c r="A24" s="2" t="s">
        <v>9</v>
      </c>
      <c r="B24" s="3" t="s">
        <v>10</v>
      </c>
      <c r="C24" s="1" t="s">
        <v>20</v>
      </c>
      <c r="D24" s="1" t="s">
        <v>64</v>
      </c>
      <c r="E24" s="1" t="s">
        <v>24</v>
      </c>
      <c r="F24" s="1"/>
      <c r="G24" s="1"/>
      <c r="H24" s="1"/>
      <c r="I24" s="1"/>
      <c r="J24" s="1" t="s">
        <v>16</v>
      </c>
      <c r="K24" s="1"/>
      <c r="L24" s="1" t="s">
        <v>16</v>
      </c>
      <c r="M24" s="28" t="s">
        <v>16</v>
      </c>
      <c r="N24" s="6">
        <v>42537</v>
      </c>
    </row>
    <row r="25" spans="1:14" ht="16.5" thickBot="1">
      <c r="A25" s="2" t="s">
        <v>9</v>
      </c>
      <c r="B25" s="3" t="s">
        <v>10</v>
      </c>
      <c r="C25" s="1" t="s">
        <v>25</v>
      </c>
      <c r="D25" s="1" t="s">
        <v>64</v>
      </c>
      <c r="E25" s="1" t="s">
        <v>31</v>
      </c>
      <c r="F25" s="1"/>
      <c r="G25" s="1"/>
      <c r="H25" s="1" t="s">
        <v>16</v>
      </c>
      <c r="I25" s="1"/>
      <c r="J25" s="1"/>
      <c r="K25" s="1" t="s">
        <v>16</v>
      </c>
      <c r="L25" s="1" t="s">
        <v>16</v>
      </c>
      <c r="M25" s="28"/>
      <c r="N25" s="6">
        <v>42536</v>
      </c>
    </row>
    <row r="26" spans="1:14" ht="16.5" thickBot="1">
      <c r="A26" s="2" t="s">
        <v>9</v>
      </c>
      <c r="B26" s="3" t="s">
        <v>10</v>
      </c>
      <c r="C26" s="1" t="s">
        <v>23</v>
      </c>
      <c r="D26" s="1" t="s">
        <v>64</v>
      </c>
      <c r="E26" s="1" t="s">
        <v>22</v>
      </c>
      <c r="F26" s="1"/>
      <c r="G26" s="1"/>
      <c r="H26" s="1"/>
      <c r="I26" s="1" t="s">
        <v>16</v>
      </c>
      <c r="J26" s="1" t="s">
        <v>16</v>
      </c>
      <c r="K26" s="1" t="s">
        <v>16</v>
      </c>
      <c r="L26" s="1" t="s">
        <v>62</v>
      </c>
      <c r="M26" s="28" t="s">
        <v>16</v>
      </c>
      <c r="N26" s="6">
        <v>42537</v>
      </c>
    </row>
    <row r="27" spans="1:14" ht="16.5" thickBot="1">
      <c r="A27" s="2" t="s">
        <v>9</v>
      </c>
      <c r="B27" s="3" t="s">
        <v>10</v>
      </c>
      <c r="C27" s="1" t="s">
        <v>20</v>
      </c>
      <c r="D27" s="1" t="s">
        <v>61</v>
      </c>
      <c r="E27" s="1" t="s">
        <v>13</v>
      </c>
      <c r="F27" s="1"/>
      <c r="G27" s="1" t="s">
        <v>16</v>
      </c>
      <c r="H27" s="1"/>
      <c r="I27" s="1"/>
      <c r="J27" s="1"/>
      <c r="K27" s="1" t="s">
        <v>16</v>
      </c>
      <c r="L27" s="1" t="s">
        <v>62</v>
      </c>
      <c r="M27" s="28" t="s">
        <v>16</v>
      </c>
      <c r="N27" s="6">
        <v>42529</v>
      </c>
    </row>
    <row r="28" spans="1:14" ht="16.5" thickBot="1">
      <c r="A28" s="2" t="s">
        <v>9</v>
      </c>
      <c r="B28" s="3" t="s">
        <v>10</v>
      </c>
      <c r="C28" s="1" t="s">
        <v>30</v>
      </c>
      <c r="D28" s="1" t="s">
        <v>61</v>
      </c>
      <c r="E28" s="1" t="s">
        <v>22</v>
      </c>
      <c r="F28" s="1" t="s">
        <v>16</v>
      </c>
      <c r="G28" s="1" t="s">
        <v>16</v>
      </c>
      <c r="H28" s="1" t="s">
        <v>16</v>
      </c>
      <c r="I28" s="1"/>
      <c r="J28" s="1"/>
      <c r="K28" s="1"/>
      <c r="L28" s="1" t="s">
        <v>62</v>
      </c>
      <c r="M28" s="28" t="s">
        <v>16</v>
      </c>
      <c r="N28" s="6">
        <v>42542</v>
      </c>
    </row>
    <row r="29" spans="1:14" ht="16.5" thickBot="1">
      <c r="A29" s="2" t="s">
        <v>9</v>
      </c>
      <c r="B29" s="3" t="s">
        <v>10</v>
      </c>
      <c r="C29" s="1" t="s">
        <v>23</v>
      </c>
      <c r="D29" s="1" t="s">
        <v>61</v>
      </c>
      <c r="E29" s="1" t="s">
        <v>22</v>
      </c>
      <c r="F29" s="1"/>
      <c r="G29" s="1" t="s">
        <v>16</v>
      </c>
      <c r="H29" s="1"/>
      <c r="I29" s="1"/>
      <c r="J29" s="1" t="s">
        <v>16</v>
      </c>
      <c r="K29" s="1" t="s">
        <v>16</v>
      </c>
      <c r="L29" s="1" t="s">
        <v>62</v>
      </c>
      <c r="M29" s="28" t="s">
        <v>16</v>
      </c>
      <c r="N29" s="6">
        <v>42542</v>
      </c>
    </row>
    <row r="30" spans="1:14" ht="16.5" thickBot="1">
      <c r="A30" s="2" t="s">
        <v>9</v>
      </c>
      <c r="B30" s="3" t="s">
        <v>10</v>
      </c>
      <c r="C30" s="1" t="s">
        <v>11</v>
      </c>
      <c r="D30" s="1" t="s">
        <v>61</v>
      </c>
      <c r="E30" s="1" t="s">
        <v>13</v>
      </c>
      <c r="F30" s="1"/>
      <c r="G30" s="1" t="s">
        <v>16</v>
      </c>
      <c r="H30" s="1" t="s">
        <v>16</v>
      </c>
      <c r="I30" s="1"/>
      <c r="J30" s="1" t="s">
        <v>16</v>
      </c>
      <c r="K30" s="1" t="s">
        <v>16</v>
      </c>
      <c r="L30" s="1" t="s">
        <v>16</v>
      </c>
      <c r="M30" s="28" t="s">
        <v>16</v>
      </c>
      <c r="N30" s="6">
        <v>42542</v>
      </c>
    </row>
    <row r="31" spans="1:14" ht="16.5" thickBot="1">
      <c r="A31" s="2" t="s">
        <v>9</v>
      </c>
      <c r="B31" s="3" t="s">
        <v>10</v>
      </c>
      <c r="C31" s="1" t="s">
        <v>11</v>
      </c>
      <c r="D31" s="1" t="s">
        <v>61</v>
      </c>
      <c r="E31" s="1" t="s">
        <v>24</v>
      </c>
      <c r="F31" s="1"/>
      <c r="G31" s="1" t="s">
        <v>16</v>
      </c>
      <c r="H31" s="1"/>
      <c r="I31" s="1"/>
      <c r="J31" s="1"/>
      <c r="K31" s="1"/>
      <c r="L31" s="1" t="s">
        <v>16</v>
      </c>
      <c r="M31" s="28" t="s">
        <v>16</v>
      </c>
      <c r="N31" s="6">
        <v>42544</v>
      </c>
    </row>
    <row r="32" spans="1:14" ht="16.5" thickBot="1">
      <c r="A32" s="2" t="s">
        <v>9</v>
      </c>
      <c r="B32" s="3" t="s">
        <v>10</v>
      </c>
      <c r="C32" s="1" t="s">
        <v>23</v>
      </c>
      <c r="D32" s="1" t="s">
        <v>34</v>
      </c>
      <c r="E32" s="1" t="s">
        <v>13</v>
      </c>
      <c r="F32" s="1" t="s">
        <v>16</v>
      </c>
      <c r="G32" s="1" t="s">
        <v>16</v>
      </c>
      <c r="H32" s="1"/>
      <c r="I32" s="1"/>
      <c r="J32" s="1" t="s">
        <v>16</v>
      </c>
      <c r="K32" s="1"/>
      <c r="L32" s="1" t="s">
        <v>62</v>
      </c>
      <c r="M32" s="28" t="s">
        <v>16</v>
      </c>
      <c r="N32" s="6">
        <v>42541</v>
      </c>
    </row>
    <row r="33" spans="1:14" ht="16.5" thickBot="1">
      <c r="A33" s="2" t="s">
        <v>9</v>
      </c>
      <c r="B33" s="3" t="s">
        <v>10</v>
      </c>
      <c r="C33" s="1" t="s">
        <v>25</v>
      </c>
      <c r="D33" s="1" t="s">
        <v>34</v>
      </c>
      <c r="E33" s="1" t="s">
        <v>35</v>
      </c>
      <c r="F33" s="1"/>
      <c r="G33" s="1" t="s">
        <v>16</v>
      </c>
      <c r="H33" s="1" t="s">
        <v>16</v>
      </c>
      <c r="I33" s="1"/>
      <c r="J33" s="1" t="s">
        <v>16</v>
      </c>
      <c r="K33" s="1"/>
      <c r="L33" s="1" t="s">
        <v>62</v>
      </c>
      <c r="M33" s="28" t="s">
        <v>16</v>
      </c>
      <c r="N33" s="6">
        <v>42541</v>
      </c>
    </row>
    <row r="34" spans="1:14" ht="16.5" thickBot="1">
      <c r="A34" s="2" t="s">
        <v>9</v>
      </c>
      <c r="B34" s="3" t="s">
        <v>10</v>
      </c>
      <c r="C34" s="1" t="s">
        <v>25</v>
      </c>
      <c r="D34" s="1" t="s">
        <v>34</v>
      </c>
      <c r="E34" s="1" t="s">
        <v>35</v>
      </c>
      <c r="F34" s="1" t="s">
        <v>16</v>
      </c>
      <c r="G34" s="1"/>
      <c r="H34" s="1"/>
      <c r="I34" s="1"/>
      <c r="J34" s="1"/>
      <c r="K34" s="1" t="s">
        <v>16</v>
      </c>
      <c r="L34" s="1" t="s">
        <v>16</v>
      </c>
      <c r="M34" s="28" t="s">
        <v>16</v>
      </c>
      <c r="N34" s="6">
        <v>42541</v>
      </c>
    </row>
    <row r="35" spans="1:14" ht="16.5" thickBot="1">
      <c r="A35" s="2" t="s">
        <v>9</v>
      </c>
      <c r="B35" s="3" t="s">
        <v>10</v>
      </c>
      <c r="C35" s="1" t="s">
        <v>11</v>
      </c>
      <c r="D35" s="1" t="s">
        <v>34</v>
      </c>
      <c r="E35" s="1" t="s">
        <v>36</v>
      </c>
      <c r="F35" s="1"/>
      <c r="G35" s="1" t="s">
        <v>16</v>
      </c>
      <c r="H35" s="1"/>
      <c r="I35" s="1"/>
      <c r="J35" s="1"/>
      <c r="K35" s="1" t="s">
        <v>16</v>
      </c>
      <c r="L35" s="1" t="s">
        <v>62</v>
      </c>
      <c r="M35" s="28" t="s">
        <v>16</v>
      </c>
      <c r="N35" s="6">
        <v>42541</v>
      </c>
    </row>
    <row r="36" spans="1:14" ht="16.5" thickBot="1">
      <c r="A36" s="2" t="s">
        <v>9</v>
      </c>
      <c r="B36" s="3" t="s">
        <v>10</v>
      </c>
      <c r="C36" s="1" t="s">
        <v>23</v>
      </c>
      <c r="D36" s="1" t="s">
        <v>34</v>
      </c>
      <c r="E36" s="1" t="s">
        <v>24</v>
      </c>
      <c r="F36" s="1"/>
      <c r="G36" s="1" t="s">
        <v>16</v>
      </c>
      <c r="H36" s="1"/>
      <c r="I36" s="1"/>
      <c r="J36" s="1"/>
      <c r="K36" s="1"/>
      <c r="L36" s="1" t="s">
        <v>16</v>
      </c>
      <c r="M36" s="28" t="s">
        <v>16</v>
      </c>
      <c r="N36" s="6">
        <v>42541</v>
      </c>
    </row>
    <row r="37" spans="1:14" ht="16.5" thickBot="1">
      <c r="A37" s="2" t="s">
        <v>9</v>
      </c>
      <c r="B37" s="3" t="s">
        <v>10</v>
      </c>
      <c r="C37" s="1" t="s">
        <v>23</v>
      </c>
      <c r="D37" s="1" t="s">
        <v>63</v>
      </c>
      <c r="E37" s="1" t="s">
        <v>13</v>
      </c>
      <c r="F37" s="1"/>
      <c r="G37" s="1" t="s">
        <v>16</v>
      </c>
      <c r="H37" s="1"/>
      <c r="I37" s="1" t="s">
        <v>16</v>
      </c>
      <c r="J37" s="1"/>
      <c r="K37" s="1" t="s">
        <v>16</v>
      </c>
      <c r="L37" s="1" t="s">
        <v>62</v>
      </c>
      <c r="M37" s="28" t="s">
        <v>16</v>
      </c>
      <c r="N37" s="6">
        <v>42530</v>
      </c>
    </row>
    <row r="38" spans="1:14" ht="16.5" thickBot="1">
      <c r="A38" s="2" t="s">
        <v>9</v>
      </c>
      <c r="B38" s="3" t="s">
        <v>10</v>
      </c>
      <c r="C38" s="1" t="s">
        <v>19</v>
      </c>
      <c r="D38" s="1" t="s">
        <v>63</v>
      </c>
      <c r="E38" s="1" t="s">
        <v>29</v>
      </c>
      <c r="F38" s="1"/>
      <c r="G38" s="1" t="s">
        <v>16</v>
      </c>
      <c r="H38" s="1" t="s">
        <v>16</v>
      </c>
      <c r="I38" s="1"/>
      <c r="J38" s="1"/>
      <c r="K38" s="1" t="s">
        <v>16</v>
      </c>
      <c r="L38" s="1" t="s">
        <v>62</v>
      </c>
      <c r="M38" s="28" t="s">
        <v>16</v>
      </c>
      <c r="N38" s="6">
        <v>42537</v>
      </c>
    </row>
    <row r="39" spans="1:14" ht="16.5" thickBot="1">
      <c r="A39" s="2" t="s">
        <v>9</v>
      </c>
      <c r="B39" s="3" t="s">
        <v>10</v>
      </c>
      <c r="C39" s="1" t="s">
        <v>20</v>
      </c>
      <c r="D39" s="1" t="s">
        <v>61</v>
      </c>
      <c r="E39" s="1" t="s">
        <v>24</v>
      </c>
      <c r="F39" s="1"/>
      <c r="G39" s="1" t="s">
        <v>16</v>
      </c>
      <c r="H39" s="1"/>
      <c r="I39" s="1"/>
      <c r="J39" s="1"/>
      <c r="K39" s="1" t="s">
        <v>16</v>
      </c>
      <c r="L39" s="1" t="s">
        <v>62</v>
      </c>
      <c r="M39" s="28" t="s">
        <v>16</v>
      </c>
      <c r="N39" s="6">
        <v>42528</v>
      </c>
    </row>
    <row r="40" spans="1:14" ht="16.5" thickBot="1">
      <c r="A40" s="2" t="s">
        <v>9</v>
      </c>
      <c r="B40" s="3" t="s">
        <v>10</v>
      </c>
      <c r="C40" s="1" t="s">
        <v>11</v>
      </c>
      <c r="D40" s="1" t="s">
        <v>61</v>
      </c>
      <c r="E40" s="1" t="s">
        <v>24</v>
      </c>
      <c r="F40" s="1"/>
      <c r="G40" s="1" t="s">
        <v>16</v>
      </c>
      <c r="H40" s="1"/>
      <c r="I40" s="1"/>
      <c r="J40" s="1"/>
      <c r="K40" s="1"/>
      <c r="L40" s="1" t="s">
        <v>62</v>
      </c>
      <c r="M40" s="28" t="s">
        <v>16</v>
      </c>
      <c r="N40" s="6">
        <v>42529</v>
      </c>
    </row>
    <row r="41" spans="1:14" ht="16.5" thickBot="1">
      <c r="A41" s="2" t="s">
        <v>9</v>
      </c>
      <c r="B41" s="3" t="s">
        <v>10</v>
      </c>
      <c r="C41" s="1" t="s">
        <v>23</v>
      </c>
      <c r="D41" s="1" t="s">
        <v>61</v>
      </c>
      <c r="E41" s="1" t="s">
        <v>22</v>
      </c>
      <c r="F41" s="1"/>
      <c r="G41" s="1" t="s">
        <v>16</v>
      </c>
      <c r="H41" s="1" t="s">
        <v>16</v>
      </c>
      <c r="I41" s="1" t="s">
        <v>16</v>
      </c>
      <c r="J41" s="1" t="s">
        <v>16</v>
      </c>
      <c r="K41" s="1"/>
      <c r="L41" s="1" t="s">
        <v>62</v>
      </c>
      <c r="M41" s="28" t="s">
        <v>16</v>
      </c>
      <c r="N41" s="6">
        <v>42543</v>
      </c>
    </row>
    <row r="42" spans="1:14" ht="16.5" thickBot="1">
      <c r="A42" s="2" t="s">
        <v>9</v>
      </c>
      <c r="B42" s="3" t="s">
        <v>10</v>
      </c>
      <c r="C42" s="1" t="s">
        <v>11</v>
      </c>
      <c r="D42" s="1" t="s">
        <v>61</v>
      </c>
      <c r="E42" s="1" t="s">
        <v>13</v>
      </c>
      <c r="F42" s="1"/>
      <c r="G42" s="1" t="s">
        <v>16</v>
      </c>
      <c r="H42" s="1"/>
      <c r="I42" s="1"/>
      <c r="J42" s="1"/>
      <c r="K42" s="1" t="s">
        <v>16</v>
      </c>
      <c r="L42" s="1" t="s">
        <v>62</v>
      </c>
      <c r="M42" s="28" t="s">
        <v>16</v>
      </c>
      <c r="N42" s="6">
        <v>42542</v>
      </c>
    </row>
    <row r="43" spans="1:14" ht="16.5" thickBot="1">
      <c r="A43" s="2" t="s">
        <v>9</v>
      </c>
      <c r="B43" s="3" t="s">
        <v>10</v>
      </c>
      <c r="C43" s="1" t="s">
        <v>19</v>
      </c>
      <c r="D43" s="1" t="s">
        <v>34</v>
      </c>
      <c r="E43" s="1" t="s">
        <v>13</v>
      </c>
      <c r="F43" s="1"/>
      <c r="G43" s="1" t="s">
        <v>16</v>
      </c>
      <c r="H43" s="1"/>
      <c r="I43" s="1"/>
      <c r="J43" s="1" t="s">
        <v>16</v>
      </c>
      <c r="K43" s="1" t="s">
        <v>16</v>
      </c>
      <c r="L43" s="1" t="s">
        <v>16</v>
      </c>
      <c r="M43" s="28" t="s">
        <v>16</v>
      </c>
      <c r="N43" s="6">
        <v>42542</v>
      </c>
    </row>
    <row r="44" spans="1:14" ht="16.5" thickBot="1">
      <c r="A44" s="2" t="s">
        <v>9</v>
      </c>
      <c r="B44" s="3" t="s">
        <v>10</v>
      </c>
      <c r="C44" s="1" t="s">
        <v>20</v>
      </c>
      <c r="D44" s="1" t="s">
        <v>34</v>
      </c>
      <c r="E44" s="1" t="s">
        <v>13</v>
      </c>
      <c r="F44" s="1"/>
      <c r="G44" s="1" t="s">
        <v>16</v>
      </c>
      <c r="H44" s="1"/>
      <c r="I44" s="1"/>
      <c r="J44" s="1"/>
      <c r="K44" s="1" t="s">
        <v>16</v>
      </c>
      <c r="L44" s="1" t="s">
        <v>16</v>
      </c>
      <c r="M44" s="28" t="s">
        <v>16</v>
      </c>
      <c r="N44" s="6">
        <v>42542</v>
      </c>
    </row>
    <row r="45" spans="1:14" ht="16.5" thickBot="1">
      <c r="A45" s="2" t="s">
        <v>9</v>
      </c>
      <c r="B45" s="3" t="s">
        <v>10</v>
      </c>
      <c r="C45" s="1" t="s">
        <v>23</v>
      </c>
      <c r="D45" s="1" t="s">
        <v>34</v>
      </c>
      <c r="E45" s="1" t="s">
        <v>13</v>
      </c>
      <c r="F45" s="1"/>
      <c r="G45" s="1" t="s">
        <v>16</v>
      </c>
      <c r="H45" s="1"/>
      <c r="I45" s="1"/>
      <c r="J45" s="1" t="s">
        <v>16</v>
      </c>
      <c r="K45" s="1" t="s">
        <v>16</v>
      </c>
      <c r="L45" s="1" t="s">
        <v>62</v>
      </c>
      <c r="M45" s="28"/>
      <c r="N45" s="6">
        <v>42542</v>
      </c>
    </row>
    <row r="46" spans="1:14" ht="16.5" thickBot="1">
      <c r="A46" s="2" t="s">
        <v>9</v>
      </c>
      <c r="B46" s="3" t="s">
        <v>10</v>
      </c>
      <c r="C46" s="26" t="s">
        <v>11</v>
      </c>
      <c r="D46" s="26" t="s">
        <v>34</v>
      </c>
      <c r="E46" s="26" t="s">
        <v>13</v>
      </c>
      <c r="F46" s="26" t="s">
        <v>16</v>
      </c>
      <c r="G46" s="26" t="s">
        <v>16</v>
      </c>
      <c r="H46" s="26"/>
      <c r="I46" s="26"/>
      <c r="J46" s="26" t="s">
        <v>16</v>
      </c>
      <c r="K46" s="26" t="s">
        <v>16</v>
      </c>
      <c r="L46" s="26" t="s">
        <v>16</v>
      </c>
      <c r="M46" s="30" t="s">
        <v>16</v>
      </c>
      <c r="N46" s="27">
        <v>42542</v>
      </c>
    </row>
    <row r="47" spans="1:14" ht="16.5" thickBot="1">
      <c r="A47" s="2" t="s">
        <v>9</v>
      </c>
      <c r="B47" s="3" t="s">
        <v>10</v>
      </c>
      <c r="C47" s="1" t="s">
        <v>30</v>
      </c>
      <c r="D47" s="1" t="s">
        <v>61</v>
      </c>
      <c r="E47" s="1" t="s">
        <v>13</v>
      </c>
      <c r="F47" s="1" t="s">
        <v>16</v>
      </c>
      <c r="G47" s="1" t="s">
        <v>16</v>
      </c>
      <c r="H47" s="1"/>
      <c r="I47" s="1"/>
      <c r="J47" s="1" t="s">
        <v>16</v>
      </c>
      <c r="K47" s="1" t="s">
        <v>16</v>
      </c>
      <c r="L47" s="1" t="s">
        <v>62</v>
      </c>
      <c r="M47" s="1" t="s">
        <v>16</v>
      </c>
      <c r="N47" s="7">
        <v>42548</v>
      </c>
    </row>
    <row r="48" spans="1:14">
      <c r="L48" s="43"/>
    </row>
    <row r="49" spans="1:12">
      <c r="A49">
        <f>COUNTA(A2:A47)</f>
        <v>46</v>
      </c>
      <c r="L49" s="43"/>
    </row>
    <row r="50" spans="1:12">
      <c r="K50" t="s">
        <v>65</v>
      </c>
      <c r="L50" s="43"/>
    </row>
  </sheetData>
  <autoFilter ref="A1:N47" xr:uid="{00000000-0009-0000-0000-000002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EAEF24CE16714DBFF89EBB24D23B04" ma:contentTypeVersion="8" ma:contentTypeDescription="Create a new document." ma:contentTypeScope="" ma:versionID="fa174c6afff32858f53b06cc5e25cc73">
  <xsd:schema xmlns:xsd="http://www.w3.org/2001/XMLSchema" xmlns:xs="http://www.w3.org/2001/XMLSchema" xmlns:p="http://schemas.microsoft.com/office/2006/metadata/properties" xmlns:ns2="4c1981db-d8fb-4ca3-9d14-523ffc40b38c" xmlns:ns3="6ea289bd-17f2-459a-993b-2af49462c21e" targetNamespace="http://schemas.microsoft.com/office/2006/metadata/properties" ma:root="true" ma:fieldsID="bc283a575266b0a8c5b580b2751d02af" ns2:_="" ns3:_="">
    <xsd:import namespace="4c1981db-d8fb-4ca3-9d14-523ffc40b38c"/>
    <xsd:import namespace="6ea289bd-17f2-459a-993b-2af49462c2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981db-d8fb-4ca3-9d14-523ffc40b38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289bd-17f2-459a-993b-2af49462c2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716132-EF67-41EE-A1B2-740AC46A5C1B}"/>
</file>

<file path=customXml/itemProps2.xml><?xml version="1.0" encoding="utf-8"?>
<ds:datastoreItem xmlns:ds="http://schemas.openxmlformats.org/officeDocument/2006/customXml" ds:itemID="{165B112B-5553-4032-82D5-77D5619F33D5}"/>
</file>

<file path=customXml/itemProps3.xml><?xml version="1.0" encoding="utf-8"?>
<ds:datastoreItem xmlns:ds="http://schemas.openxmlformats.org/officeDocument/2006/customXml" ds:itemID="{0ADCA68C-293B-4F50-9382-9A51D2AA06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Honeywell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Murphy Jared</dc:creator>
  <cp:keywords/>
  <dc:description/>
  <cp:lastModifiedBy>Komischke, Tobias</cp:lastModifiedBy>
  <cp:revision/>
  <dcterms:created xsi:type="dcterms:W3CDTF">2016-06-06T14:56:51Z</dcterms:created>
  <dcterms:modified xsi:type="dcterms:W3CDTF">2018-07-11T17:54:03Z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0x010100DDEAEF24CE16714DBFF89EBB24D23B04</vt:lpwstr>
  </property>
</Properties>
</file>