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05"/>
  <workbookPr/>
  <mc:AlternateContent xmlns:mc="http://schemas.openxmlformats.org/markup-compatibility/2006">
    <mc:Choice Requires="x15">
      <x15ac:absPath xmlns:x15ac="http://schemas.microsoft.com/office/spreadsheetml/2010/11/ac" url="/Users/h147066/OneDrive - Honeywell/IT HUE Team Share Drive/4 Tools and Templates/SUS/"/>
    </mc:Choice>
  </mc:AlternateContent>
  <xr:revisionPtr revIDLastSave="0" documentId="8_{6FA20D49-70F2-4C59-A76A-75C830FA952C}" xr6:coauthVersionLast="35" xr6:coauthVersionMax="35" xr10:uidLastSave="{00000000-0000-0000-0000-000000000000}"/>
  <bookViews>
    <workbookView xWindow="7600" yWindow="1300" windowWidth="28800" windowHeight="16240" tabRatio="500" firstSheet="1" activeTab="1" xr2:uid="{00000000-000D-0000-FFFF-FFFF00000000}"/>
  </bookViews>
  <sheets>
    <sheet name="Manually entered " sheetId="1" r:id="rId1"/>
    <sheet name="Pasted from SurveyMonkey Export" sheetId="2" r:id="rId2"/>
  </sheets>
  <calcPr calcId="17902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9" i="2" l="1"/>
  <c r="C29" i="2"/>
  <c r="D29" i="2"/>
  <c r="E29" i="2"/>
  <c r="F29" i="2"/>
  <c r="G29" i="2"/>
  <c r="H29" i="2"/>
  <c r="I29" i="2"/>
  <c r="J29" i="2"/>
  <c r="K29" i="2"/>
  <c r="L29" i="2"/>
  <c r="B30" i="2"/>
  <c r="C30" i="2"/>
  <c r="D30" i="2"/>
  <c r="E30" i="2"/>
  <c r="F30" i="2"/>
  <c r="G30" i="2"/>
  <c r="H30" i="2"/>
  <c r="I30" i="2"/>
  <c r="J30" i="2"/>
  <c r="K30" i="2"/>
  <c r="L30" i="2"/>
  <c r="B31" i="2"/>
  <c r="C31" i="2"/>
  <c r="D31" i="2"/>
  <c r="E31" i="2"/>
  <c r="F31" i="2"/>
  <c r="G31" i="2"/>
  <c r="H31" i="2"/>
  <c r="I31" i="2"/>
  <c r="J31" i="2"/>
  <c r="K31" i="2"/>
  <c r="L31" i="2"/>
  <c r="B32" i="2"/>
  <c r="C32" i="2"/>
  <c r="D32" i="2"/>
  <c r="E32" i="2"/>
  <c r="F32" i="2"/>
  <c r="G32" i="2"/>
  <c r="H32" i="2"/>
  <c r="I32" i="2"/>
  <c r="J32" i="2"/>
  <c r="K32" i="2"/>
  <c r="L32" i="2"/>
  <c r="L36" i="2"/>
  <c r="L35" i="2"/>
  <c r="L37" i="2"/>
  <c r="B33" i="2"/>
  <c r="C33" i="2"/>
  <c r="D33" i="2"/>
  <c r="E33" i="2"/>
  <c r="F33" i="2"/>
  <c r="G33" i="2"/>
  <c r="H33" i="2"/>
  <c r="I33" i="2"/>
  <c r="J33" i="2"/>
  <c r="K33" i="2"/>
  <c r="L33" i="2"/>
  <c r="L12" i="1"/>
  <c r="L7" i="1"/>
  <c r="L8" i="1"/>
  <c r="L9" i="1"/>
  <c r="L10" i="1"/>
  <c r="L11" i="1"/>
  <c r="L13" i="1"/>
  <c r="L14" i="1"/>
  <c r="L15" i="1"/>
  <c r="L16" i="1"/>
  <c r="L5" i="1"/>
</calcChain>
</file>

<file path=xl/sharedStrings.xml><?xml version="1.0" encoding="utf-8"?>
<sst xmlns="http://schemas.openxmlformats.org/spreadsheetml/2006/main" count="125" uniqueCount="72">
  <si>
    <t>System Usability Scale (SUS) - Calculation Sheet</t>
  </si>
  <si>
    <t>Participant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</si>
  <si>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</si>
  <si>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</si>
  <si>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</si>
  <si>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</si>
  <si>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</si>
  <si>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</si>
  <si>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</si>
  <si>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</si>
  <si>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</si>
  <si>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</si>
  <si>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 xml:space="preserve">SUS </t>
  </si>
  <si>
    <t>I think that I would like to use this software frequently:</t>
  </si>
  <si>
    <t>I found the software to be simple:</t>
  </si>
  <si>
    <t>I thought the software was easy to use:</t>
  </si>
  <si>
    <t>I think that I could use the software without the support of a technical person:</t>
  </si>
  <si>
    <t>I found the various functions in this software were well integrated:</t>
  </si>
  <si>
    <t>I thought there was a lot of consistency in this software:</t>
  </si>
  <si>
    <t>I would imagine that most people would learn to use this software very quickly:</t>
  </si>
  <si>
    <t>I found the software very intuitive:</t>
  </si>
  <si>
    <t>I felt very confident using the software:</t>
  </si>
  <si>
    <t>I could use the software without having to learn anything new: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</si>
  <si>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</si>
  <si>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</si>
  <si>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</si>
  <si>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</si>
  <si>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</si>
  <si>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</si>
  <si>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</si>
  <si>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</si>
  <si>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</si>
  <si>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</si>
  <si>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Instructions:</t>
  </si>
  <si>
    <t>1. Export the individual responses from Surveymonkey as an Excel file: Analyze Results\Expert All\All individual responses. Uncheck "Start each response on a new page".</t>
  </si>
  <si>
    <t>2. From the exported Excel file, remove column O and then copy all answer cells into the bordered area below on this worksheet</t>
  </si>
  <si>
    <t>3. Below in this worksheet, adjust the range for the average (i.e. SUS score) and the standard deviation appropriately based on the number of participants!</t>
  </si>
  <si>
    <t>I think that I would like to use this software frequently:</t>
  </si>
  <si>
    <t>I found the software to be simple:</t>
  </si>
  <si>
    <t>I thought the software was easy to use:</t>
  </si>
  <si>
    <t>I think that I could use the software without the support of a technical person:</t>
  </si>
  <si>
    <t>I found the various functions in this software were well integrated:</t>
  </si>
  <si>
    <t>I would imagine that most people would learn to use this software very quickly:</t>
  </si>
  <si>
    <t>I found the software very intuitive:</t>
  </si>
  <si>
    <t>I could use the software without having to learn anything new</t>
  </si>
  <si>
    <t>Participant 1</t>
  </si>
  <si>
    <t>Agree</t>
  </si>
  <si>
    <t>Strongly Agree</t>
  </si>
  <si>
    <t>Participant 2</t>
  </si>
  <si>
    <t>Neutral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</si>
  <si>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</si>
  <si>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</si>
  <si>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</si>
  <si>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</si>
  <si>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</si>
  <si>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</si>
  <si>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</si>
  <si>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</si>
  <si>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</si>
  <si>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</si>
  <si>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</si>
  <si>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</si>
  <si>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</si>
  <si>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</si>
  <si>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</si>
  <si>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</si>
  <si>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</si>
  <si>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</si>
  <si>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SUS</t>
  </si>
  <si>
    <t>Standard Deviation</t>
  </si>
  <si>
    <t>Coefficient Of Variation</t>
  </si>
  <si>
    <t>If CV &gt;= 1, then variation is considered high, otherwise it's considered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</si>
</sst>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0" fillId="3" borderId="0" xfId="0" applyFill="1" applyAlignment="1">
      <alignment horizontal="right"/>
    </xf>
    <xf numFmtId="2" fontId="0" fillId="3" borderId="0" xfId="0" applyNumberFormat="1" applyFill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119095</xdr:colOff>
      <xdr:row>33</xdr:row>
      <xdr:rowOff>0</xdr:rowOff>
    </xdr:from>
    <xdr:to>
      <xdr:col>20</xdr:col>
      <xdr:colOff>533399</xdr:colOff>
      <xdr:row>46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9895" y="7200900"/>
          <a:ext cx="7018304" cy="276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workbookViewId="0" xr3:uid="{AEA406A1-0E4B-5B11-9CD5-51D6E497D94C}">
      <selection activeCell="L7" sqref="L7:L15"/>
    </sheetView>
  </sheetViews>
  <sheetFormatPr defaultColWidth="11" defaultRowHeight="15.95"/>
  <sheetData>
    <row r="1" spans="1:12">
      <c r="A1" s="7" t="s">
        <v>0</v>
      </c>
    </row>
    <row r="4" spans="1:12">
      <c r="A4" s="4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6" t="s">
        <v>12</v>
      </c>
    </row>
    <row r="5" spans="1:12">
      <c r="A5" s="5"/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8">
        <f>AVERAGE(L7:L90)</f>
        <v>58.75</v>
      </c>
    </row>
    <row r="6" spans="1:12">
      <c r="A6" s="4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2">
      <c r="A7" s="4" t="s">
        <v>23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9">
        <f t="shared" ref="L7:L16" si="0">((B7-1)+(C7-1)+(D7-1)+(E7-1)+(F7-1)+(G7-1)+(H7-1)+(I7-1)+(J7-1)+(K7-1))*2.5</f>
        <v>0</v>
      </c>
    </row>
    <row r="8" spans="1:12">
      <c r="A8" s="4" t="s">
        <v>24</v>
      </c>
      <c r="B8" s="1">
        <v>2</v>
      </c>
      <c r="C8" s="1">
        <v>2</v>
      </c>
      <c r="D8" s="1">
        <v>2</v>
      </c>
      <c r="E8" s="1">
        <v>2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2</v>
      </c>
      <c r="L8" s="9">
        <f t="shared" si="0"/>
        <v>25</v>
      </c>
    </row>
    <row r="9" spans="1:12">
      <c r="A9" s="4" t="s">
        <v>25</v>
      </c>
      <c r="B9" s="1">
        <v>3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9">
        <f t="shared" si="0"/>
        <v>50</v>
      </c>
    </row>
    <row r="10" spans="1:12">
      <c r="A10" s="4" t="s">
        <v>26</v>
      </c>
      <c r="B10" s="1">
        <v>4</v>
      </c>
      <c r="C10" s="1">
        <v>4</v>
      </c>
      <c r="D10" s="1">
        <v>4</v>
      </c>
      <c r="E10" s="1">
        <v>4</v>
      </c>
      <c r="F10" s="1">
        <v>4</v>
      </c>
      <c r="G10" s="1">
        <v>4</v>
      </c>
      <c r="H10" s="1">
        <v>4</v>
      </c>
      <c r="I10" s="1">
        <v>4</v>
      </c>
      <c r="J10" s="1">
        <v>4</v>
      </c>
      <c r="K10" s="1">
        <v>4</v>
      </c>
      <c r="L10" s="9">
        <f t="shared" si="0"/>
        <v>75</v>
      </c>
    </row>
    <row r="11" spans="1:12">
      <c r="A11" s="4" t="s">
        <v>27</v>
      </c>
      <c r="B11" s="1">
        <v>5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>
        <v>5</v>
      </c>
      <c r="J11" s="1">
        <v>5</v>
      </c>
      <c r="K11" s="1">
        <v>5</v>
      </c>
      <c r="L11" s="9">
        <f t="shared" si="0"/>
        <v>100</v>
      </c>
    </row>
    <row r="12" spans="1:12">
      <c r="A12" s="4" t="s">
        <v>28</v>
      </c>
      <c r="B12" s="1">
        <v>5</v>
      </c>
      <c r="C12" s="1">
        <v>3</v>
      </c>
      <c r="D12" s="1">
        <v>5</v>
      </c>
      <c r="E12" s="1">
        <v>3</v>
      </c>
      <c r="F12" s="1">
        <v>5</v>
      </c>
      <c r="G12" s="1">
        <v>3</v>
      </c>
      <c r="H12" s="1">
        <v>5</v>
      </c>
      <c r="I12" s="1">
        <v>3</v>
      </c>
      <c r="J12" s="1">
        <v>5</v>
      </c>
      <c r="K12" s="1">
        <v>3</v>
      </c>
      <c r="L12" s="9">
        <f t="shared" si="0"/>
        <v>75</v>
      </c>
    </row>
    <row r="13" spans="1:12">
      <c r="A13" s="4" t="s">
        <v>29</v>
      </c>
      <c r="B13" s="1">
        <v>2</v>
      </c>
      <c r="C13" s="1">
        <v>4</v>
      </c>
      <c r="D13" s="1">
        <v>2</v>
      </c>
      <c r="E13" s="1">
        <v>4</v>
      </c>
      <c r="F13" s="1">
        <v>2</v>
      </c>
      <c r="G13" s="1">
        <v>4</v>
      </c>
      <c r="H13" s="1">
        <v>2</v>
      </c>
      <c r="I13" s="1">
        <v>4</v>
      </c>
      <c r="J13" s="1">
        <v>2</v>
      </c>
      <c r="K13" s="1">
        <v>4</v>
      </c>
      <c r="L13" s="9">
        <f t="shared" si="0"/>
        <v>50</v>
      </c>
    </row>
    <row r="14" spans="1:12">
      <c r="A14" s="4" t="s">
        <v>30</v>
      </c>
      <c r="B14" s="1">
        <v>3</v>
      </c>
      <c r="C14" s="1">
        <v>2</v>
      </c>
      <c r="D14" s="1">
        <v>3</v>
      </c>
      <c r="E14" s="1">
        <v>2</v>
      </c>
      <c r="F14" s="1">
        <v>3</v>
      </c>
      <c r="G14" s="1">
        <v>2</v>
      </c>
      <c r="H14" s="1">
        <v>3</v>
      </c>
      <c r="I14" s="1">
        <v>2</v>
      </c>
      <c r="J14" s="1">
        <v>3</v>
      </c>
      <c r="K14" s="1">
        <v>2</v>
      </c>
      <c r="L14" s="9">
        <f t="shared" si="0"/>
        <v>37.5</v>
      </c>
    </row>
    <row r="15" spans="1:12">
      <c r="A15" s="4" t="s">
        <v>31</v>
      </c>
      <c r="B15" s="1">
        <v>4</v>
      </c>
      <c r="C15" s="1">
        <v>4</v>
      </c>
      <c r="D15" s="1">
        <v>4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  <c r="J15" s="1">
        <v>4</v>
      </c>
      <c r="K15" s="1">
        <v>4</v>
      </c>
      <c r="L15" s="9">
        <f t="shared" si="0"/>
        <v>75</v>
      </c>
    </row>
    <row r="16" spans="1:12">
      <c r="A16" s="4" t="s">
        <v>32</v>
      </c>
      <c r="B16" s="1">
        <v>5</v>
      </c>
      <c r="C16" s="1">
        <v>5</v>
      </c>
      <c r="D16" s="1">
        <v>5</v>
      </c>
      <c r="E16" s="1">
        <v>5</v>
      </c>
      <c r="F16" s="1">
        <v>5</v>
      </c>
      <c r="G16" s="1">
        <v>5</v>
      </c>
      <c r="H16" s="1">
        <v>5</v>
      </c>
      <c r="I16" s="1">
        <v>5</v>
      </c>
      <c r="J16" s="1">
        <v>5</v>
      </c>
      <c r="K16" s="1">
        <v>5</v>
      </c>
      <c r="L16" s="9">
        <f t="shared" si="0"/>
        <v>100</v>
      </c>
    </row>
    <row r="17" spans="1:12">
      <c r="A17" s="4"/>
      <c r="L17" s="9"/>
    </row>
    <row r="18" spans="1:12">
      <c r="A18" s="4"/>
      <c r="L18" s="9"/>
    </row>
    <row r="19" spans="1:12">
      <c r="A19" s="4"/>
      <c r="L19" s="9"/>
    </row>
    <row r="20" spans="1:12">
      <c r="A20" s="4"/>
      <c r="L20" s="9"/>
    </row>
    <row r="21" spans="1:12">
      <c r="A21" s="4"/>
      <c r="L21" s="9"/>
    </row>
    <row r="22" spans="1:12">
      <c r="A22" s="4"/>
      <c r="L22" s="9"/>
    </row>
    <row r="23" spans="1:12">
      <c r="A23" s="4"/>
      <c r="L23" s="9"/>
    </row>
    <row r="24" spans="1:12">
      <c r="A24" s="4"/>
      <c r="L24" s="9"/>
    </row>
    <row r="25" spans="1:12">
      <c r="A25" s="4"/>
      <c r="L25" s="9"/>
    </row>
    <row r="26" spans="1:12">
      <c r="A26" s="4"/>
      <c r="L26" s="9"/>
    </row>
    <row r="27" spans="1:12">
      <c r="A27" s="4"/>
      <c r="L27" s="9"/>
    </row>
    <row r="28" spans="1:12">
      <c r="A28" s="4"/>
      <c r="L28" s="9"/>
    </row>
    <row r="29" spans="1:12">
      <c r="A29" s="4"/>
      <c r="L29" s="9"/>
    </row>
    <row r="30" spans="1:12">
      <c r="A30" s="4"/>
      <c r="L30" s="9"/>
    </row>
    <row r="31" spans="1:12">
      <c r="A31" s="4"/>
      <c r="L31" s="9"/>
    </row>
    <row r="32" spans="1:12">
      <c r="A32" s="4"/>
      <c r="L32" s="9"/>
    </row>
    <row r="33" spans="1:12">
      <c r="A33" s="4"/>
      <c r="L33" s="9"/>
    </row>
    <row r="34" spans="1:12">
      <c r="A34" s="4"/>
      <c r="L34" s="9"/>
    </row>
    <row r="35" spans="1:12">
      <c r="A35" s="4"/>
      <c r="L35" s="9"/>
    </row>
    <row r="36" spans="1:12">
      <c r="A36" s="4"/>
      <c r="L36" s="9"/>
    </row>
    <row r="37" spans="1:12">
      <c r="A37" s="4"/>
      <c r="L37" s="9"/>
    </row>
    <row r="38" spans="1:12">
      <c r="A38" s="4"/>
      <c r="L38" s="9"/>
    </row>
    <row r="39" spans="1:12">
      <c r="A39" s="4"/>
      <c r="L39" s="9"/>
    </row>
    <row r="40" spans="1:12">
      <c r="A40" s="4"/>
      <c r="L40" s="9"/>
    </row>
    <row r="41" spans="1:12">
      <c r="A41" s="4"/>
      <c r="L41" s="9"/>
    </row>
    <row r="42" spans="1:12">
      <c r="A42" s="4"/>
      <c r="L42" s="9"/>
    </row>
    <row r="43" spans="1:12">
      <c r="A43" s="4"/>
      <c r="L43" s="9"/>
    </row>
    <row r="44" spans="1:12">
      <c r="A44" s="4"/>
      <c r="L44" s="9"/>
    </row>
    <row r="45" spans="1:12">
      <c r="A45" s="4"/>
      <c r="L45" s="9"/>
    </row>
    <row r="46" spans="1:12">
      <c r="A46" s="4"/>
      <c r="L46" s="9"/>
    </row>
    <row r="47" spans="1:12">
      <c r="A47" s="4"/>
      <c r="L47" s="9"/>
    </row>
    <row r="48" spans="1:12">
      <c r="A48" s="4"/>
      <c r="L48" s="9"/>
    </row>
    <row r="49" spans="1:12">
      <c r="A49" s="4"/>
      <c r="L49" s="9"/>
    </row>
    <row r="50" spans="1:12">
      <c r="A50" s="4"/>
      <c r="L50" s="9"/>
    </row>
    <row r="51" spans="1:12">
      <c r="A51" s="4"/>
      <c r="L51" s="9"/>
    </row>
    <row r="52" spans="1:12">
      <c r="A52" s="4"/>
      <c r="L52" s="9"/>
    </row>
    <row r="53" spans="1:12">
      <c r="A53" s="4"/>
      <c r="L53" s="9"/>
    </row>
    <row r="54" spans="1:12">
      <c r="A54" s="4"/>
      <c r="L54" s="9"/>
    </row>
    <row r="55" spans="1:12">
      <c r="A55" s="4"/>
      <c r="L55" s="9"/>
    </row>
    <row r="56" spans="1:12">
      <c r="A56" s="4"/>
      <c r="L56" s="9"/>
    </row>
    <row r="57" spans="1:12">
      <c r="A57" s="4"/>
      <c r="L57" s="9"/>
    </row>
    <row r="58" spans="1:12">
      <c r="A58" s="4"/>
      <c r="L58" s="9"/>
    </row>
    <row r="59" spans="1:12">
      <c r="A59" s="4"/>
      <c r="L59" s="9"/>
    </row>
    <row r="60" spans="1:12">
      <c r="A60" s="4"/>
      <c r="L60" s="9"/>
    </row>
    <row r="61" spans="1:12">
      <c r="A61" s="4"/>
      <c r="L61" s="9"/>
    </row>
    <row r="62" spans="1:12">
      <c r="A62" s="4"/>
      <c r="L62" s="9"/>
    </row>
    <row r="63" spans="1:12">
      <c r="A63" s="4"/>
      <c r="L63" s="9"/>
    </row>
    <row r="64" spans="1:12">
      <c r="A64" s="4"/>
      <c r="L64" s="9"/>
    </row>
    <row r="65" spans="1:12">
      <c r="A65" s="4"/>
      <c r="L65" s="9"/>
    </row>
    <row r="66" spans="1:12">
      <c r="A66" s="4"/>
      <c r="L66" s="9"/>
    </row>
    <row r="67" spans="1:12">
      <c r="A67" s="4"/>
      <c r="L67" s="9"/>
    </row>
    <row r="68" spans="1:12">
      <c r="A68" s="4"/>
      <c r="L68" s="9"/>
    </row>
    <row r="69" spans="1:12">
      <c r="A69" s="4"/>
      <c r="L69" s="9"/>
    </row>
    <row r="70" spans="1:12">
      <c r="A70" s="4"/>
      <c r="L70" s="9"/>
    </row>
    <row r="71" spans="1:12">
      <c r="A71" s="4"/>
      <c r="L71" s="9"/>
    </row>
    <row r="72" spans="1:12">
      <c r="A72" s="4"/>
      <c r="L72" s="9"/>
    </row>
    <row r="73" spans="1:12">
      <c r="A73" s="4"/>
      <c r="L73" s="9"/>
    </row>
    <row r="74" spans="1:12">
      <c r="A74" s="4"/>
      <c r="L74" s="9"/>
    </row>
    <row r="75" spans="1:12">
      <c r="A75" s="4"/>
      <c r="L75" s="9"/>
    </row>
    <row r="76" spans="1:12">
      <c r="A76" s="4"/>
      <c r="L76" s="9"/>
    </row>
    <row r="77" spans="1:12">
      <c r="A77" s="4"/>
    </row>
    <row r="78" spans="1:12">
      <c r="A78" s="4"/>
    </row>
    <row r="79" spans="1:12">
      <c r="A79" s="4"/>
    </row>
    <row r="80" spans="1:12">
      <c r="A80" s="4"/>
    </row>
    <row r="81" spans="1:1">
      <c r="A81" s="4"/>
    </row>
    <row r="82" spans="1:1">
      <c r="A8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abSelected="1" topLeftCell="A22" workbookViewId="0" xr3:uid="{958C4451-9541-5A59-BF78-D2F731DF1C81}">
      <selection activeCell="A34" sqref="A34:XFD35"/>
    </sheetView>
  </sheetViews>
  <sheetFormatPr defaultColWidth="11" defaultRowHeight="15.95"/>
  <cols>
    <col min="1" max="1" width="14.625" customWidth="1"/>
    <col min="11" max="11" width="11" customWidth="1"/>
  </cols>
  <sheetData>
    <row r="1" spans="1:11">
      <c r="A1" t="s">
        <v>33</v>
      </c>
    </row>
    <row r="2" spans="1:11">
      <c r="A2" t="s">
        <v>34</v>
      </c>
    </row>
    <row r="3" spans="1:11">
      <c r="A3" t="s">
        <v>35</v>
      </c>
    </row>
    <row r="4" spans="1:11">
      <c r="A4" t="s">
        <v>36</v>
      </c>
    </row>
    <row r="7" spans="1:11"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18</v>
      </c>
      <c r="H7" t="s">
        <v>42</v>
      </c>
      <c r="I7" t="s">
        <v>43</v>
      </c>
      <c r="J7" t="s">
        <v>21</v>
      </c>
      <c r="K7" t="s">
        <v>44</v>
      </c>
    </row>
    <row r="8" spans="1:11">
      <c r="A8" t="s">
        <v>45</v>
      </c>
      <c r="B8" s="15" t="s">
        <v>46</v>
      </c>
      <c r="C8" s="16" t="s">
        <v>46</v>
      </c>
      <c r="D8" s="16" t="s">
        <v>46</v>
      </c>
      <c r="E8" s="16" t="s">
        <v>47</v>
      </c>
      <c r="F8" s="16" t="s">
        <v>46</v>
      </c>
      <c r="G8" s="16" t="s">
        <v>46</v>
      </c>
      <c r="H8" s="16" t="s">
        <v>46</v>
      </c>
      <c r="I8" s="16" t="s">
        <v>46</v>
      </c>
      <c r="J8" s="16" t="s">
        <v>46</v>
      </c>
      <c r="K8" s="17" t="s">
        <v>46</v>
      </c>
    </row>
    <row r="9" spans="1:11">
      <c r="A9" t="s">
        <v>48</v>
      </c>
      <c r="B9" s="10" t="s">
        <v>46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49</v>
      </c>
      <c r="J9" t="s">
        <v>46</v>
      </c>
      <c r="K9" s="4" t="s">
        <v>49</v>
      </c>
    </row>
    <row r="10" spans="1:11">
      <c r="A10" t="s">
        <v>50</v>
      </c>
      <c r="B10" s="10" t="s">
        <v>46</v>
      </c>
      <c r="C10" t="s">
        <v>46</v>
      </c>
      <c r="D10" t="s">
        <v>47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K10" s="4" t="s">
        <v>46</v>
      </c>
    </row>
    <row r="11" spans="1:11">
      <c r="A11" t="s">
        <v>51</v>
      </c>
      <c r="B11" s="10" t="s">
        <v>46</v>
      </c>
      <c r="C11" t="s">
        <v>46</v>
      </c>
      <c r="D11" t="s">
        <v>46</v>
      </c>
      <c r="E11" t="s">
        <v>47</v>
      </c>
      <c r="F11" t="s">
        <v>46</v>
      </c>
      <c r="G11" t="s">
        <v>46</v>
      </c>
      <c r="H11" t="s">
        <v>47</v>
      </c>
      <c r="I11" t="s">
        <v>46</v>
      </c>
      <c r="J11" t="s">
        <v>46</v>
      </c>
      <c r="K11" s="4" t="s">
        <v>46</v>
      </c>
    </row>
    <row r="12" spans="1:11">
      <c r="A12" t="s">
        <v>52</v>
      </c>
      <c r="B12" s="10" t="s">
        <v>46</v>
      </c>
      <c r="C12" t="s">
        <v>47</v>
      </c>
      <c r="D12" t="s">
        <v>47</v>
      </c>
      <c r="E12" t="s">
        <v>47</v>
      </c>
      <c r="F12" t="s">
        <v>49</v>
      </c>
      <c r="G12" t="s">
        <v>49</v>
      </c>
      <c r="H12" t="s">
        <v>47</v>
      </c>
      <c r="I12" t="s">
        <v>46</v>
      </c>
      <c r="J12" t="s">
        <v>46</v>
      </c>
      <c r="K12" s="4" t="s">
        <v>46</v>
      </c>
    </row>
    <row r="13" spans="1:11">
      <c r="A13" t="s">
        <v>53</v>
      </c>
      <c r="B13" s="10"/>
      <c r="K13" s="4"/>
    </row>
    <row r="14" spans="1:11">
      <c r="A14" t="s">
        <v>54</v>
      </c>
      <c r="B14" s="10"/>
      <c r="K14" s="4"/>
    </row>
    <row r="15" spans="1:11">
      <c r="A15" t="s">
        <v>55</v>
      </c>
      <c r="B15" s="10"/>
      <c r="K15" s="4"/>
    </row>
    <row r="16" spans="1:11">
      <c r="A16" t="s">
        <v>56</v>
      </c>
      <c r="B16" s="10"/>
      <c r="K16" s="4"/>
    </row>
    <row r="17" spans="1:12">
      <c r="A17" t="s">
        <v>57</v>
      </c>
      <c r="B17" s="10"/>
      <c r="K17" s="4"/>
    </row>
    <row r="18" spans="1:12">
      <c r="A18" t="s">
        <v>58</v>
      </c>
      <c r="B18" s="10"/>
      <c r="K18" s="4"/>
    </row>
    <row r="19" spans="1:12">
      <c r="A19" t="s">
        <v>59</v>
      </c>
      <c r="B19" s="10"/>
      <c r="K19" s="4"/>
    </row>
    <row r="20" spans="1:12">
      <c r="A20" t="s">
        <v>60</v>
      </c>
      <c r="B20" s="10"/>
      <c r="K20" s="4"/>
    </row>
    <row r="21" spans="1:12">
      <c r="A21" t="s">
        <v>61</v>
      </c>
      <c r="B21" s="10"/>
      <c r="K21" s="4"/>
    </row>
    <row r="22" spans="1:12">
      <c r="A22" t="s">
        <v>62</v>
      </c>
      <c r="B22" s="10"/>
      <c r="K22" s="4"/>
    </row>
    <row r="23" spans="1:12">
      <c r="A23" t="s">
        <v>63</v>
      </c>
      <c r="B23" s="10"/>
      <c r="K23" s="4"/>
    </row>
    <row r="24" spans="1:12">
      <c r="A24" t="s">
        <v>64</v>
      </c>
      <c r="B24" s="10"/>
      <c r="K24" s="4"/>
    </row>
    <row r="25" spans="1:12">
      <c r="A25" t="s">
        <v>65</v>
      </c>
      <c r="B25" s="10"/>
      <c r="K25" s="4"/>
    </row>
    <row r="26" spans="1:12">
      <c r="A26" t="s">
        <v>66</v>
      </c>
      <c r="B26" s="10"/>
      <c r="K26" s="4"/>
    </row>
    <row r="27" spans="1:12">
      <c r="A27" t="s">
        <v>67</v>
      </c>
      <c r="B27" s="11"/>
      <c r="C27" s="3"/>
      <c r="D27" s="3"/>
      <c r="E27" s="3"/>
      <c r="F27" s="3"/>
      <c r="G27" s="3"/>
      <c r="H27" s="3"/>
      <c r="I27" s="3"/>
      <c r="J27" s="3"/>
      <c r="K27" s="5"/>
    </row>
    <row r="29" spans="1:12">
      <c r="A29" s="12" t="s">
        <v>45</v>
      </c>
      <c r="B29" s="12">
        <f>IF(B8="Strongly Disagree",1, IF(B8="Disagree",2, IF(B8="Neutral",3, IF(B8="Agree",4, IF(B8="Strongly Agree",5)))))</f>
        <v>4</v>
      </c>
      <c r="C29" s="12">
        <f t="shared" ref="C29:K29" si="0">IF(C8="Strongly Disagree",1, IF(C8="Disagree",2, IF(C8="Neutral",3, IF(C8="Agree",4, IF(C8="Strongly Agree",5)))))</f>
        <v>4</v>
      </c>
      <c r="D29" s="12">
        <f t="shared" si="0"/>
        <v>4</v>
      </c>
      <c r="E29" s="12">
        <f t="shared" si="0"/>
        <v>5</v>
      </c>
      <c r="F29" s="12">
        <f t="shared" si="0"/>
        <v>4</v>
      </c>
      <c r="G29" s="12">
        <f t="shared" si="0"/>
        <v>4</v>
      </c>
      <c r="H29" s="12">
        <f t="shared" si="0"/>
        <v>4</v>
      </c>
      <c r="I29" s="12">
        <f t="shared" si="0"/>
        <v>4</v>
      </c>
      <c r="J29" s="12">
        <f t="shared" si="0"/>
        <v>4</v>
      </c>
      <c r="K29" s="12">
        <f t="shared" si="0"/>
        <v>4</v>
      </c>
      <c r="L29" s="12">
        <f t="shared" ref="L29:L33" si="1">((B29-1)+(C29-1)+(D29-1)+(E29-1)+(F29-1)+(G29-1)+(H29-1)+(I29-1)+(J29-1)+(K29-1))*2.5</f>
        <v>77.5</v>
      </c>
    </row>
    <row r="30" spans="1:12">
      <c r="A30" s="12" t="s">
        <v>48</v>
      </c>
      <c r="B30" s="12">
        <f t="shared" ref="B30:K30" si="2">IF(B9="Strongly Disagree",1, IF(B9="Disagree",2, IF(B9="Neutral",3, IF(B9="Agree",4, IF(B9="Strongly Agree",5)))))</f>
        <v>4</v>
      </c>
      <c r="C30" s="12">
        <f t="shared" si="2"/>
        <v>4</v>
      </c>
      <c r="D30" s="12">
        <f t="shared" si="2"/>
        <v>4</v>
      </c>
      <c r="E30" s="12">
        <f t="shared" si="2"/>
        <v>4</v>
      </c>
      <c r="F30" s="12">
        <f t="shared" si="2"/>
        <v>4</v>
      </c>
      <c r="G30" s="12">
        <f t="shared" si="2"/>
        <v>4</v>
      </c>
      <c r="H30" s="12">
        <f t="shared" si="2"/>
        <v>4</v>
      </c>
      <c r="I30" s="12">
        <f t="shared" si="2"/>
        <v>3</v>
      </c>
      <c r="J30" s="12">
        <f t="shared" si="2"/>
        <v>4</v>
      </c>
      <c r="K30" s="12">
        <f t="shared" si="2"/>
        <v>3</v>
      </c>
      <c r="L30" s="12">
        <f t="shared" si="1"/>
        <v>70</v>
      </c>
    </row>
    <row r="31" spans="1:12">
      <c r="A31" s="12" t="s">
        <v>50</v>
      </c>
      <c r="B31" s="12">
        <f t="shared" ref="B31:K31" si="3">IF(B10="Strongly Disagree",1, IF(B10="Disagree",2, IF(B10="Neutral",3, IF(B10="Agree",4, IF(B10="Strongly Agree",5)))))</f>
        <v>4</v>
      </c>
      <c r="C31" s="12">
        <f t="shared" si="3"/>
        <v>4</v>
      </c>
      <c r="D31" s="12">
        <f t="shared" si="3"/>
        <v>5</v>
      </c>
      <c r="E31" s="12">
        <f t="shared" si="3"/>
        <v>4</v>
      </c>
      <c r="F31" s="12">
        <f t="shared" si="3"/>
        <v>4</v>
      </c>
      <c r="G31" s="12">
        <f t="shared" si="3"/>
        <v>4</v>
      </c>
      <c r="H31" s="12">
        <f t="shared" si="3"/>
        <v>4</v>
      </c>
      <c r="I31" s="12">
        <f t="shared" si="3"/>
        <v>4</v>
      </c>
      <c r="J31" s="12" t="b">
        <f t="shared" si="3"/>
        <v>0</v>
      </c>
      <c r="K31" s="12">
        <f t="shared" si="3"/>
        <v>4</v>
      </c>
      <c r="L31" s="12">
        <f t="shared" si="1"/>
        <v>67.5</v>
      </c>
    </row>
    <row r="32" spans="1:12">
      <c r="A32" s="12" t="s">
        <v>51</v>
      </c>
      <c r="B32" s="12">
        <f t="shared" ref="B32:K32" si="4">IF(B11="Strongly Disagree",1, IF(B11="Disagree",2, IF(B11="Neutral",3, IF(B11="Agree",4, IF(B11="Strongly Agree",5)))))</f>
        <v>4</v>
      </c>
      <c r="C32" s="12">
        <f t="shared" si="4"/>
        <v>4</v>
      </c>
      <c r="D32" s="12">
        <f t="shared" si="4"/>
        <v>4</v>
      </c>
      <c r="E32" s="12">
        <f t="shared" si="4"/>
        <v>5</v>
      </c>
      <c r="F32" s="12">
        <f t="shared" si="4"/>
        <v>4</v>
      </c>
      <c r="G32" s="12">
        <f t="shared" si="4"/>
        <v>4</v>
      </c>
      <c r="H32" s="12">
        <f t="shared" si="4"/>
        <v>5</v>
      </c>
      <c r="I32" s="12">
        <f t="shared" si="4"/>
        <v>4</v>
      </c>
      <c r="J32" s="12">
        <f t="shared" si="4"/>
        <v>4</v>
      </c>
      <c r="K32" s="12">
        <f t="shared" si="4"/>
        <v>4</v>
      </c>
      <c r="L32" s="12">
        <f t="shared" si="1"/>
        <v>80</v>
      </c>
    </row>
    <row r="33" spans="1:13">
      <c r="A33" s="12" t="s">
        <v>52</v>
      </c>
      <c r="B33" s="12">
        <f t="shared" ref="B33:K33" si="5">IF(B12="Strongly Disagree",1, IF(B12="Disagree",2, IF(B12="Neutral",3, IF(B12="Agree",4, IF(B12="Strongly Agree",5)))))</f>
        <v>4</v>
      </c>
      <c r="C33" s="12">
        <f t="shared" si="5"/>
        <v>5</v>
      </c>
      <c r="D33" s="12">
        <f t="shared" si="5"/>
        <v>5</v>
      </c>
      <c r="E33" s="12">
        <f t="shared" si="5"/>
        <v>5</v>
      </c>
      <c r="F33" s="12">
        <f t="shared" si="5"/>
        <v>3</v>
      </c>
      <c r="G33" s="12">
        <f t="shared" si="5"/>
        <v>3</v>
      </c>
      <c r="H33" s="12">
        <f t="shared" si="5"/>
        <v>5</v>
      </c>
      <c r="I33" s="12">
        <f t="shared" si="5"/>
        <v>4</v>
      </c>
      <c r="J33" s="12">
        <f t="shared" si="5"/>
        <v>4</v>
      </c>
      <c r="K33" s="12">
        <f t="shared" si="5"/>
        <v>4</v>
      </c>
      <c r="L33" s="12">
        <f t="shared" si="1"/>
        <v>80</v>
      </c>
    </row>
    <row r="34" spans="1:1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4"/>
    </row>
    <row r="35" spans="1:13">
      <c r="A35" s="12"/>
      <c r="B35" s="12"/>
      <c r="C35" s="12"/>
      <c r="D35" s="12"/>
      <c r="E35" s="12"/>
      <c r="F35" s="12"/>
      <c r="G35" s="12"/>
      <c r="H35" s="12"/>
      <c r="I35" s="12"/>
      <c r="J35" s="13"/>
      <c r="K35" s="13" t="s">
        <v>68</v>
      </c>
      <c r="L35" s="14">
        <f>AVERAGE(L29:L32)</f>
        <v>73.75</v>
      </c>
    </row>
    <row r="36" spans="1:1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3" t="s">
        <v>69</v>
      </c>
      <c r="L36" s="14">
        <f>STDEV(L29:L32)</f>
        <v>5.9511903571190414</v>
      </c>
    </row>
    <row r="37" spans="1:1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3" t="s">
        <v>70</v>
      </c>
      <c r="L37" s="14">
        <f>L36/L35</f>
        <v>8.0694106537207336E-2</v>
      </c>
      <c r="M37" t="s">
        <v>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AEF24CE16714DBFF89EBB24D23B04" ma:contentTypeVersion="8" ma:contentTypeDescription="Create a new document." ma:contentTypeScope="" ma:versionID="fa174c6afff32858f53b06cc5e25cc73">
  <xsd:schema xmlns:xsd="http://www.w3.org/2001/XMLSchema" xmlns:xs="http://www.w3.org/2001/XMLSchema" xmlns:p="http://schemas.microsoft.com/office/2006/metadata/properties" xmlns:ns2="4c1981db-d8fb-4ca3-9d14-523ffc40b38c" xmlns:ns3="6ea289bd-17f2-459a-993b-2af49462c21e" targetNamespace="http://schemas.microsoft.com/office/2006/metadata/properties" ma:root="true" ma:fieldsID="bc283a575266b0a8c5b580b2751d02af" ns2:_="" ns3:_="">
    <xsd:import namespace="4c1981db-d8fb-4ca3-9d14-523ffc40b38c"/>
    <xsd:import namespace="6ea289bd-17f2-459a-993b-2af49462c2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981db-d8fb-4ca3-9d14-523ffc40b3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289bd-17f2-459a-993b-2af49462c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6E426B-E41B-4F28-BC1B-BA94CFE54B63}"/>
</file>

<file path=customXml/itemProps2.xml><?xml version="1.0" encoding="utf-8"?>
<ds:datastoreItem xmlns:ds="http://schemas.openxmlformats.org/officeDocument/2006/customXml" ds:itemID="{4EBBFE94-A64B-4179-9779-D3203AC93444}"/>
</file>

<file path=customXml/itemProps3.xml><?xml version="1.0" encoding="utf-8"?>
<ds:datastoreItem xmlns:ds="http://schemas.openxmlformats.org/officeDocument/2006/customXml" ds:itemID="{B2112629-1696-4DE8-9BE6-F42904C9A3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Shrivastava, Avinash</cp:lastModifiedBy>
  <cp:revision/>
  <dcterms:created xsi:type="dcterms:W3CDTF">2016-10-14T09:46:42Z</dcterms:created>
  <dcterms:modified xsi:type="dcterms:W3CDTF">2018-07-11T18:03:58Z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0x010100DDEAEF24CE16714DBFF89EBB24D23B04</vt:lpwstr>
  </property>
</Properties>
</file>